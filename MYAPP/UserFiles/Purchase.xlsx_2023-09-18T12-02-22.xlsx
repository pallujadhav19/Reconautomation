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rites\OneDrive\Desktop\Newfolder\GST_2B\Input\"/>
    </mc:Choice>
  </mc:AlternateContent>
  <xr:revisionPtr revIDLastSave="0" documentId="13_ncr:1_{89A6FCC0-F547-48BD-9AC4-4A4037191CE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Working for C.A" sheetId="1" r:id="rId1"/>
    <sheet name="Input" sheetId="2" r:id="rId2"/>
  </sheets>
  <definedNames>
    <definedName name="_xlnm._FilterDatabase" localSheetId="1" hidden="1">Input!$A$1:$M$1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G9" i="1"/>
  <c r="H6" i="1"/>
  <c r="G6" i="1"/>
  <c r="F6" i="1"/>
  <c r="H9" i="1"/>
  <c r="I9" i="1"/>
  <c r="I6" i="1" l="1"/>
</calcChain>
</file>

<file path=xl/sharedStrings.xml><?xml version="1.0" encoding="utf-8"?>
<sst xmlns="http://schemas.openxmlformats.org/spreadsheetml/2006/main" count="626" uniqueCount="304">
  <si>
    <t xml:space="preserve">                                           ZEROTRASH INNOVATIONS LLP</t>
  </si>
  <si>
    <t xml:space="preserve">                                        GSTR3B</t>
  </si>
  <si>
    <t>Section</t>
  </si>
  <si>
    <t>Description</t>
  </si>
  <si>
    <t>Place of Supply</t>
  </si>
  <si>
    <t>Total Taxable Value</t>
  </si>
  <si>
    <t>Integrated Tax</t>
  </si>
  <si>
    <t>Central Tax</t>
  </si>
  <si>
    <t>State/UT Tax</t>
  </si>
  <si>
    <t>(a) Outward taxable supplies (other than zero rated, nil rated and exempted)</t>
  </si>
  <si>
    <t>(b) Outward taxable supplies (zero rated)</t>
  </si>
  <si>
    <t>(c) Other outward supplies, (Nil rated, exempted)</t>
  </si>
  <si>
    <t>(d) Inward supplies (liable to reverse charge)</t>
  </si>
  <si>
    <t>A. ITC Available - 1. Import of goods</t>
  </si>
  <si>
    <t>A. ITC Available - 2. Import of services</t>
  </si>
  <si>
    <t>A. ITC Available - 3. Inward supplies liable to reverse charge (other than 1 &amp; 2 above)</t>
  </si>
  <si>
    <t>A. ITC Available - 5. All other ITC</t>
  </si>
  <si>
    <t>From a supplier under composition scheme, Exempt and Nil rated supply - A) Inter-State Supplies</t>
  </si>
  <si>
    <t>From a supplier under composition scheme, Exempt and Nil rated supply - A) Intra-State Supplies</t>
  </si>
  <si>
    <t xml:space="preserve">ITC Claimed </t>
  </si>
  <si>
    <t>Date</t>
  </si>
  <si>
    <t>Transaction Type</t>
  </si>
  <si>
    <t>No.</t>
  </si>
  <si>
    <t>Name</t>
  </si>
  <si>
    <t>Basic amount</t>
  </si>
  <si>
    <t>Input IGST</t>
  </si>
  <si>
    <t>Input CGST</t>
  </si>
  <si>
    <t xml:space="preserve">      Input SGST</t>
  </si>
  <si>
    <t>Total Amount</t>
  </si>
  <si>
    <t>Found in GSTR2A(Yes/No/NA)</t>
  </si>
  <si>
    <t>Claimed in (Month)</t>
  </si>
  <si>
    <t>GST_No</t>
  </si>
  <si>
    <t>Purchase</t>
  </si>
  <si>
    <t>IN-13656</t>
  </si>
  <si>
    <t>SLRS1114711</t>
  </si>
  <si>
    <t>24CGEPD6916L1ZC</t>
  </si>
  <si>
    <t>27CRKPS3967F1Z6</t>
  </si>
  <si>
    <t xml:space="preserve">27AACCV1726H1ZE_x000D_
</t>
  </si>
  <si>
    <t>J B COLLECTION</t>
  </si>
  <si>
    <t>SHREE SHYAM PLY</t>
  </si>
  <si>
    <t>INFINITI RETAIL LIMITED</t>
  </si>
  <si>
    <t>RS/0988/20-21</t>
  </si>
  <si>
    <t>29AADFR9998M1ZY</t>
  </si>
  <si>
    <t>ROBUST SEALS</t>
  </si>
  <si>
    <t>RS/1029/20-21</t>
  </si>
  <si>
    <t>2021/IN05012</t>
  </si>
  <si>
    <t>29ANAPS9675C1ZJ</t>
  </si>
  <si>
    <t>SUPER HYDROFIT</t>
  </si>
  <si>
    <t>2021/IN05455</t>
  </si>
  <si>
    <t>29AGGPM8848N1ZE</t>
  </si>
  <si>
    <t>MUJAWAR TIN WORKS.</t>
  </si>
  <si>
    <t>RC/20-21/163</t>
  </si>
  <si>
    <t>27AABFR9937J1ZN</t>
  </si>
  <si>
    <t>RAJEEV AND CO</t>
  </si>
  <si>
    <t>2107/2021</t>
  </si>
  <si>
    <t>27AACCD7171J1ZG</t>
  </si>
  <si>
    <t>DYNAMIC FANS MARKETING PRIVATE LIMITED</t>
  </si>
  <si>
    <t>29SRCB2101654322</t>
  </si>
  <si>
    <t>29AABAT4497Q1ZG</t>
  </si>
  <si>
    <t xml:space="preserve">THE SARASWAT </t>
  </si>
  <si>
    <t>29SRCB2101654911</t>
  </si>
  <si>
    <t>29SRCB2101655331</t>
  </si>
  <si>
    <t>29SRCB2101655332</t>
  </si>
  <si>
    <t>MUJAWAR TIN WORKS</t>
  </si>
  <si>
    <t>SBH2021-10909</t>
  </si>
  <si>
    <t>29AATFS5578G1ZA</t>
  </si>
  <si>
    <t>SHRI BALAJI HARDWARE</t>
  </si>
  <si>
    <t>SBH2021-11688</t>
  </si>
  <si>
    <t>29AFUPP5530R1ZA</t>
  </si>
  <si>
    <t>SUNRISE STEEL ENTERPRISES</t>
  </si>
  <si>
    <t>CS09067</t>
  </si>
  <si>
    <t>T0221293J2776</t>
  </si>
  <si>
    <t>29AAACS8577K3ZJ</t>
  </si>
  <si>
    <t>STATE BANK OF INDIA</t>
  </si>
  <si>
    <t>B2021000766</t>
  </si>
  <si>
    <t>29AABCM9631K1Z1</t>
  </si>
  <si>
    <t xml:space="preserve">MANIRANJAN DIESEL SALES </t>
  </si>
  <si>
    <t>OMSHB2021000767</t>
  </si>
  <si>
    <t>29AQMPP5760A1ZM</t>
  </si>
  <si>
    <t>SHRI BALAJI PLASTICS.</t>
  </si>
  <si>
    <t>RD/20-21/1161</t>
  </si>
  <si>
    <t>29ACKPH7234B1ZQ</t>
  </si>
  <si>
    <t>R.D.ENTERPRISES</t>
  </si>
  <si>
    <t>RD/20-21/1166</t>
  </si>
  <si>
    <t>29ATTPN4345H1Z2</t>
  </si>
  <si>
    <t>PHOTON NDT SERVICES</t>
  </si>
  <si>
    <t>AI/L/20-21/01605</t>
  </si>
  <si>
    <t>27AABFA2791B1ZV</t>
  </si>
  <si>
    <t>ASHOK INDUSTRY</t>
  </si>
  <si>
    <t>27AADCK7720P1Z1</t>
  </si>
  <si>
    <t>KWALITY PAINTS &amp; COATINGS PRIVATE LIMITED</t>
  </si>
  <si>
    <t>BGM/RPF/218</t>
  </si>
  <si>
    <t>29AAACT0686N1ZS</t>
  </si>
  <si>
    <t>THE NATIONAL SMALL INDUSTRIES CORPORATION LIMITED</t>
  </si>
  <si>
    <t>29AAYPH6179H1ZU</t>
  </si>
  <si>
    <t>VENKATESH INDUSTRIES</t>
  </si>
  <si>
    <t>29AAEFN9923B1Z7</t>
  </si>
  <si>
    <t>NEW UDAY BHUVAN</t>
  </si>
  <si>
    <t>INV-32138</t>
  </si>
  <si>
    <t>27AABFP8959L1ZH</t>
  </si>
  <si>
    <t>PERFECT LABORATORY SERVICES</t>
  </si>
  <si>
    <t>INV-32348</t>
  </si>
  <si>
    <t>INV-32886</t>
  </si>
  <si>
    <t>INV-32932</t>
  </si>
  <si>
    <t>126/20-21</t>
  </si>
  <si>
    <t>27AOWPP2467E1ZE</t>
  </si>
  <si>
    <t>V. V. ENTERPRISES</t>
  </si>
  <si>
    <t>2021B1003</t>
  </si>
  <si>
    <t>29AAKFG9939Q1Z5</t>
  </si>
  <si>
    <t>GRAVITY CHEMICALS &amp; SPECIALITIES</t>
  </si>
  <si>
    <t>GCS2021B1004</t>
  </si>
  <si>
    <t>GCS2021B1045</t>
  </si>
  <si>
    <t>29AFMPH7214N1ZX</t>
  </si>
  <si>
    <t>M/S BALAJI SAFETY</t>
  </si>
  <si>
    <t>GST6086</t>
  </si>
  <si>
    <t>29AAAFC5800A1Z4</t>
  </si>
  <si>
    <t>COMPUAID</t>
  </si>
  <si>
    <t>29AABFV5262E1Z4</t>
  </si>
  <si>
    <t>A B G INDUSTRIAL PRODUCTS</t>
  </si>
  <si>
    <t>27AAGCB7868L1ZY</t>
  </si>
  <si>
    <t>M/s BAARCO LASERTECH PRIVATE LIMITED</t>
  </si>
  <si>
    <t>UBL0978</t>
  </si>
  <si>
    <t>24AACCM9337R1ZT</t>
  </si>
  <si>
    <t>MEHTA TUBES LIMITED</t>
  </si>
  <si>
    <t>UBL0979</t>
  </si>
  <si>
    <t>UBL1082</t>
  </si>
  <si>
    <t>UBL1083</t>
  </si>
  <si>
    <t>B-462</t>
  </si>
  <si>
    <t>29CFFPK4513N2Z2</t>
  </si>
  <si>
    <t>SHRI GAJANAN DISHEND WORKS</t>
  </si>
  <si>
    <t>184/20-21</t>
  </si>
  <si>
    <t>27AAECD8911C1ZV</t>
  </si>
  <si>
    <t>DH BOILER EXCHANGERS TOOLS PRIVATE LIMITED</t>
  </si>
  <si>
    <t>INV/2021/9885</t>
  </si>
  <si>
    <t>27BPHPA7095C2ZY</t>
  </si>
  <si>
    <t>DELTA METALLURGICAL LABORATORY &amp; SERVICES</t>
  </si>
  <si>
    <t>29AAOFP7675E1ZK</t>
  </si>
  <si>
    <t>PROCON SYSTEMS</t>
  </si>
  <si>
    <t>29AAAFD7641L1Z5</t>
  </si>
  <si>
    <t>DEVDUTT PAPER CORPORATION</t>
  </si>
  <si>
    <t>29AABFN3995N1ZH</t>
  </si>
  <si>
    <t>NAAVEEN TYRE SERVICES</t>
  </si>
  <si>
    <t>29ABJPB3472D1ZV</t>
  </si>
  <si>
    <t>PRIME TOOLS</t>
  </si>
  <si>
    <t>SBC/20-21/1158</t>
  </si>
  <si>
    <t>29ABCFS9564N1Z8</t>
  </si>
  <si>
    <t>SHREE BALAJI COR</t>
  </si>
  <si>
    <t>SBC/20-21/1206</t>
  </si>
  <si>
    <t>SHREE BALAJI CORPORATION</t>
  </si>
  <si>
    <t>KE/20-21/450</t>
  </si>
  <si>
    <t>29AJPPC6430J1ZY</t>
  </si>
  <si>
    <t>KSHIPRA ENGINEERING</t>
  </si>
  <si>
    <t>SP/0346/20-21</t>
  </si>
  <si>
    <t>27AAAFS3640N1ZZ</t>
  </si>
  <si>
    <t>STAR PAINT AND OIL INDUSTRIES</t>
  </si>
  <si>
    <t>BM2129I016017023</t>
  </si>
  <si>
    <t>29AAACB2894G1ZJ</t>
  </si>
  <si>
    <t>BHARTI AIRTEL LIMITED</t>
  </si>
  <si>
    <t>29AAYFR0595F1ZH</t>
  </si>
  <si>
    <t>RENU ENTERPRISES</t>
  </si>
  <si>
    <t>LSC-32021-27005</t>
  </si>
  <si>
    <t>29AABFD0473B1ZX</t>
  </si>
  <si>
    <t>MANGESH MOTORS</t>
  </si>
  <si>
    <t>WSC-32021-23354</t>
  </si>
  <si>
    <t>29AADCT0663J1Z4</t>
  </si>
  <si>
    <t>TCI EXPRESS LIMITED</t>
  </si>
  <si>
    <t>GST-P1260</t>
  </si>
  <si>
    <t>29CESPP6654K1ZF</t>
  </si>
  <si>
    <t>PAREEK TRADERS</t>
  </si>
  <si>
    <t>GSTP1274</t>
  </si>
  <si>
    <t>GST-P1316</t>
  </si>
  <si>
    <t>7147/20-21</t>
  </si>
  <si>
    <t>29AAUFA1565A1ZG</t>
  </si>
  <si>
    <t>ARCH ELECTRICAL</t>
  </si>
  <si>
    <t>7626/20-21</t>
  </si>
  <si>
    <t>8277/20-21</t>
  </si>
  <si>
    <t>29AABFK4965H1Z1</t>
  </si>
  <si>
    <t>KRISHI UDYOG</t>
  </si>
  <si>
    <t>27AHNPB7540A1ZO</t>
  </si>
  <si>
    <t>BHOSALE TEMPO SERVICES</t>
  </si>
  <si>
    <t>29BQLPS3695F1Z3</t>
  </si>
  <si>
    <t>Rohit NDT services</t>
  </si>
  <si>
    <t>29ALWPP5713G1ZH</t>
  </si>
  <si>
    <t>JYOTI TRADERS</t>
  </si>
  <si>
    <t>AAPL/20-21/32</t>
  </si>
  <si>
    <t>29AANCA8268Q1ZI</t>
  </si>
  <si>
    <t>ALPHASURE ACCOUNTANTS PVT LTD</t>
  </si>
  <si>
    <t>27AAJPL2101Q1ZK</t>
  </si>
  <si>
    <t>R H ENTERPRISES</t>
  </si>
  <si>
    <t>29COVPB5104H1ZT</t>
  </si>
  <si>
    <t>N J B ENTERPRISES</t>
  </si>
  <si>
    <t>27AAFPC1890H1ZU</t>
  </si>
  <si>
    <t>CALTECH ENGINEERING SERVICES</t>
  </si>
  <si>
    <t>KM3000697129</t>
  </si>
  <si>
    <t>29AACCA4861C2ZU</t>
  </si>
  <si>
    <t>ASSOCIATED ROAD CARRIERS LIMITED</t>
  </si>
  <si>
    <t>24AAMCS5287N1ZK</t>
  </si>
  <si>
    <t>SCODA TUBES LTD</t>
  </si>
  <si>
    <t>29AEQPV0662M1ZL</t>
  </si>
  <si>
    <t>SANJIVANI INDUSTRIES</t>
  </si>
  <si>
    <t>PME/2359/20-21</t>
  </si>
  <si>
    <t>27AAACP4977A1ZZ</t>
  </si>
  <si>
    <t>POWERMASTER ENGINEERS PRIVATE LIMITED</t>
  </si>
  <si>
    <t>PME/2553/20-21</t>
  </si>
  <si>
    <t>PIPL/KP-776</t>
  </si>
  <si>
    <t>27AAJCP7139H1Z2</t>
  </si>
  <si>
    <t>PRAJYO INSTRUMENT PRIVATE LIMITED</t>
  </si>
  <si>
    <t>PIPL/KP-829</t>
  </si>
  <si>
    <t>1001-20501058552</t>
  </si>
  <si>
    <t>27AACCT2540H1ZI</t>
  </si>
  <si>
    <t>TEAM GLOBAL LOGISTICS PVT.LTD</t>
  </si>
  <si>
    <t>GST-5100</t>
  </si>
  <si>
    <t>29ABEFS6620D1Z8</t>
  </si>
  <si>
    <t>SHRI KUNJAL STEELS</t>
  </si>
  <si>
    <t>B20210142</t>
  </si>
  <si>
    <t>29ABOPA2830K1ZK</t>
  </si>
  <si>
    <t>SERWEL MARKETING SERVICES</t>
  </si>
  <si>
    <t>1101132/20-21</t>
  </si>
  <si>
    <t>27AADCS7801F1ZG</t>
  </si>
  <si>
    <t>SKM STEELS LTD</t>
  </si>
  <si>
    <t>1101133/20-21</t>
  </si>
  <si>
    <t>VPT/GST/452</t>
  </si>
  <si>
    <t>27ABEPC1411E1ZI</t>
  </si>
  <si>
    <t>VENUS PIPE AND TUBES</t>
  </si>
  <si>
    <t>20/ND/13332</t>
  </si>
  <si>
    <t>29AAAFU8249D1ZZ</t>
  </si>
  <si>
    <t>M/s UTILITY TRADERS</t>
  </si>
  <si>
    <t>20/ND/13866</t>
  </si>
  <si>
    <t>CRIMH20210016053</t>
  </si>
  <si>
    <t>27AAFCT0838F1ZE</t>
  </si>
  <si>
    <t>Rivigo Services Private Limited</t>
  </si>
  <si>
    <t>29ATJPM0847K1Z7</t>
  </si>
  <si>
    <t>SHRI GANESH ENTERPRISES</t>
  </si>
  <si>
    <t>27AAPCS8206E1Z5</t>
  </si>
  <si>
    <t>SRV GLOBAL FREIGHT PRIVATE LIMITED</t>
  </si>
  <si>
    <t>29AABHS3989P1Z2</t>
  </si>
  <si>
    <t>SAKARIA TRADE LINK</t>
  </si>
  <si>
    <t>29AAVPN0759N1ZO</t>
  </si>
  <si>
    <t>PRAKASH ENGINEERING WORKS</t>
  </si>
  <si>
    <t>29AAHFP6117A1ZG</t>
  </si>
  <si>
    <t>PARULEKAR AND COMPANY</t>
  </si>
  <si>
    <t>G/KA/01857/20-21</t>
  </si>
  <si>
    <t>29APRPK1655B1ZS</t>
  </si>
  <si>
    <t>GAJANAN OIL CENTRE</t>
  </si>
  <si>
    <t>G/KA/01909/20-21</t>
  </si>
  <si>
    <t>29ABKPY0530A1ZS</t>
  </si>
  <si>
    <t>DANESHWARI GRAPHICS</t>
  </si>
  <si>
    <t>KM-2021-0776</t>
  </si>
  <si>
    <t>29ACNPK9408P1ZN</t>
  </si>
  <si>
    <t>KANAKA MARKETING</t>
  </si>
  <si>
    <t>KM-2021-0856</t>
  </si>
  <si>
    <t>SI3211691</t>
  </si>
  <si>
    <t>29AABCP6617N1ZW</t>
  </si>
  <si>
    <t>PT P CNC TOOLINGS PVT LTD</t>
  </si>
  <si>
    <t>29AAJFT7255P1Z6</t>
  </si>
  <si>
    <t>TRIMURTY PACKERS</t>
  </si>
  <si>
    <t>104228317/3</t>
  </si>
  <si>
    <t>29AABCB5730G1ZT</t>
  </si>
  <si>
    <t>BAJAJ ALLIANZ GENERAL INSURANCE CO. LTD</t>
  </si>
  <si>
    <t>24AAFCN3245C1ZX</t>
  </si>
  <si>
    <t>NEXXA FASTENERS PRIVATE LIMITED</t>
  </si>
  <si>
    <t>20-21/2566</t>
  </si>
  <si>
    <t>29ACRPS1798L1ZE</t>
  </si>
  <si>
    <t>SRI SAI ENTERPRISES</t>
  </si>
  <si>
    <t>T0221272O27079</t>
  </si>
  <si>
    <t>27AAACS8577K2ZO</t>
  </si>
  <si>
    <t>29AABCV3609C1ZJ</t>
  </si>
  <si>
    <t>VRL LOGISTICS LIMITED, VIJAYANAND TRAVELS, MARUTI PARCEL CARRIERS, VRL COURIER,VRL AVIATION</t>
  </si>
  <si>
    <t>2020-21/04245</t>
  </si>
  <si>
    <t>27AXAPS0870M1Z3</t>
  </si>
  <si>
    <t>S.S.ENTERPRISES</t>
  </si>
  <si>
    <t>2020-21/04408</t>
  </si>
  <si>
    <t>29BDAPS4256E1ZG</t>
  </si>
  <si>
    <t>VIJAY AGENCY</t>
  </si>
  <si>
    <t>SSC/20-21/2691</t>
  </si>
  <si>
    <t>29ACXPH3791C1Z5</t>
  </si>
  <si>
    <t>SAMRUDDHI SALES CORPORATION</t>
  </si>
  <si>
    <t>SSC/20-21/2772</t>
  </si>
  <si>
    <t>SSC/20-21/2882</t>
  </si>
  <si>
    <t>29AACFA9628C1ZI</t>
  </si>
  <si>
    <t>ACCURATE ENGINEERS</t>
  </si>
  <si>
    <t>29AGCPP0739P1ZZ</t>
  </si>
  <si>
    <t>JYOTHI SALES CORPORATION</t>
  </si>
  <si>
    <t>20-21/1005</t>
  </si>
  <si>
    <t>27AAAFB9851G1ZE</t>
  </si>
  <si>
    <t>BOMBAY OIL SEALS COMPANY</t>
  </si>
  <si>
    <t>20-21/1009</t>
  </si>
  <si>
    <t>20-21/1066</t>
  </si>
  <si>
    <t>29AAGFK8483K1ZK</t>
  </si>
  <si>
    <t>KARTIK ENTERPRISES</t>
  </si>
  <si>
    <t>29AADCM6259K1ZX</t>
  </si>
  <si>
    <t>MANICKBAG AUTOMOBILES PVT LTD BGM</t>
  </si>
  <si>
    <t>LLSE-727</t>
  </si>
  <si>
    <t>08BGCPA2159K1ZJ</t>
  </si>
  <si>
    <t>LONG LASTING SHOTS &amp; EQUIPMENTS</t>
  </si>
  <si>
    <t>LLSE-729</t>
  </si>
  <si>
    <t>465/2020-21</t>
  </si>
  <si>
    <t>27AAECM8015G1ZJ</t>
  </si>
  <si>
    <t>MTS PIPES AND TUBES PRIVATE LIMITED</t>
  </si>
  <si>
    <t>466/2020-21</t>
  </si>
  <si>
    <t>06AACCV7613B1ZO</t>
  </si>
  <si>
    <t>Varalka Engineers Private Limited</t>
  </si>
  <si>
    <t>29AAWPV2904J1ZW</t>
  </si>
  <si>
    <t>PARULEKAR UDYOG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</si>
</sst>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\ _€"/>
    <numFmt numFmtId="165" formatCode="[$-14009]dd/mm/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</font>
    <font>
      <sz val="10"/>
      <color theme="1"/>
      <name val="Calibri"/>
    </font>
    <font>
      <b/>
      <sz val="10"/>
      <color rgb="FF00B050"/>
      <name val="Calibri"/>
    </font>
    <font>
      <sz val="10"/>
      <color rgb="FF00B050"/>
      <name val="Calibri"/>
    </font>
    <font>
      <sz val="11"/>
      <name val="Calibri"/>
    </font>
    <font>
      <b/>
      <sz val="11"/>
      <color rgb="FF0D0D0D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43" fontId="3" fillId="0" borderId="2" xfId="1" applyFont="1" applyBorder="1" applyAlignment="1">
      <alignment horizontal="left" wrapText="1"/>
    </xf>
    <xf numFmtId="43" fontId="3" fillId="0" borderId="3" xfId="1" applyFont="1" applyBorder="1" applyAlignment="1">
      <alignment horizontal="left" wrapText="1"/>
    </xf>
    <xf numFmtId="164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43" fontId="3" fillId="0" borderId="0" xfId="1" applyFont="1" applyBorder="1" applyAlignment="1">
      <alignment horizontal="left" wrapText="1"/>
    </xf>
    <xf numFmtId="43" fontId="3" fillId="0" borderId="5" xfId="1" applyFont="1" applyBorder="1" applyAlignment="1">
      <alignment horizontal="left" wrapText="1"/>
    </xf>
    <xf numFmtId="0" fontId="0" fillId="0" borderId="4" xfId="0" applyBorder="1" applyAlignment="1">
      <alignment horizontal="center" vertical="center" wrapText="1"/>
    </xf>
    <xf numFmtId="43" fontId="3" fillId="0" borderId="0" xfId="1" applyFont="1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wrapText="1"/>
    </xf>
    <xf numFmtId="43" fontId="3" fillId="0" borderId="7" xfId="1" applyFont="1" applyBorder="1" applyAlignment="1">
      <alignment horizontal="left" wrapText="1"/>
    </xf>
    <xf numFmtId="43" fontId="3" fillId="0" borderId="8" xfId="1" applyFont="1" applyBorder="1" applyAlignment="1">
      <alignment horizontal="left" wrapText="1"/>
    </xf>
    <xf numFmtId="0" fontId="4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right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wrapText="1"/>
    </xf>
    <xf numFmtId="0" fontId="0" fillId="4" borderId="0" xfId="0" applyFill="1"/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right"/>
    </xf>
    <xf numFmtId="0" fontId="8" fillId="5" borderId="0" xfId="0" applyFont="1" applyFill="1" applyAlignment="1">
      <alignment horizontal="left"/>
    </xf>
    <xf numFmtId="0" fontId="9" fillId="5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49" fontId="11" fillId="0" borderId="10" xfId="0" applyNumberFormat="1" applyFont="1" applyBorder="1" applyAlignment="1">
      <alignment vertical="top"/>
    </xf>
    <xf numFmtId="49" fontId="11" fillId="0" borderId="11" xfId="0" applyNumberFormat="1" applyFont="1" applyBorder="1" applyAlignment="1">
      <alignment vertical="top"/>
    </xf>
    <xf numFmtId="49" fontId="11" fillId="0" borderId="11" xfId="0" applyNumberFormat="1" applyFont="1" applyBorder="1" applyAlignment="1">
      <alignment vertical="top" wrapText="1"/>
    </xf>
    <xf numFmtId="165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F12" sqref="F12"/>
    </sheetView>
  </sheetViews>
  <sheetFormatPr defaultRowHeight="14.5"/>
  <cols>
    <col min="1" max="1" width="12.453125" customWidth="1"/>
    <col min="2" max="2" width="25" style="27" customWidth="1"/>
    <col min="3" max="3" width="14.54296875" customWidth="1"/>
    <col min="4" max="4" width="60.26953125" customWidth="1"/>
    <col min="5" max="5" width="13.54296875" customWidth="1"/>
    <col min="6" max="6" width="16.26953125" customWidth="1"/>
    <col min="7" max="7" width="14.1796875" customWidth="1"/>
    <col min="8" max="8" width="13.453125" customWidth="1"/>
    <col min="9" max="9" width="15.453125" customWidth="1"/>
  </cols>
  <sheetData>
    <row r="1" spans="1:9">
      <c r="A1" s="41" t="s">
        <v>0</v>
      </c>
      <c r="B1" s="42"/>
      <c r="C1" s="42"/>
      <c r="D1" s="42"/>
      <c r="E1" s="42"/>
      <c r="F1" s="42"/>
      <c r="G1" s="42"/>
      <c r="H1" s="42"/>
    </row>
    <row r="2" spans="1:9">
      <c r="A2" s="41" t="s">
        <v>1</v>
      </c>
      <c r="B2" s="42"/>
      <c r="C2" s="42"/>
      <c r="D2" s="42"/>
      <c r="E2" s="42"/>
      <c r="F2" s="42"/>
      <c r="G2" s="42"/>
      <c r="H2" s="42"/>
    </row>
    <row r="3" spans="1:9">
      <c r="A3" s="43"/>
      <c r="B3" s="42"/>
      <c r="C3" s="42"/>
      <c r="D3" s="42"/>
      <c r="E3" s="42"/>
      <c r="F3" s="42"/>
      <c r="G3" s="42"/>
      <c r="H3" s="42"/>
    </row>
    <row r="5" spans="1:9" ht="29">
      <c r="C5" s="16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8" t="s">
        <v>8</v>
      </c>
    </row>
    <row r="6" spans="1:9" ht="29">
      <c r="C6" s="1">
        <v>3.1</v>
      </c>
      <c r="D6" s="2" t="s">
        <v>9</v>
      </c>
      <c r="E6" s="3"/>
      <c r="F6" s="3" t="e">
        <f>#REF!</f>
        <v>#REF!</v>
      </c>
      <c r="G6" s="3" t="e">
        <f>#REF!</f>
        <v>#REF!</v>
      </c>
      <c r="H6" s="3" t="e">
        <f>#REF!</f>
        <v>#REF!</v>
      </c>
      <c r="I6" s="4" t="e">
        <f>H6</f>
        <v>#REF!</v>
      </c>
    </row>
    <row r="7" spans="1:9">
      <c r="C7" s="5">
        <v>3.1</v>
      </c>
      <c r="D7" s="6" t="s">
        <v>10</v>
      </c>
      <c r="E7" s="7"/>
      <c r="F7" s="7"/>
      <c r="G7" s="7"/>
      <c r="H7" s="7"/>
      <c r="I7" s="8"/>
    </row>
    <row r="8" spans="1:9">
      <c r="C8" s="5">
        <v>3.1</v>
      </c>
      <c r="D8" s="6" t="s">
        <v>11</v>
      </c>
      <c r="E8" s="7"/>
      <c r="F8" s="7"/>
      <c r="G8" s="7"/>
      <c r="H8" s="7"/>
      <c r="I8" s="8"/>
    </row>
    <row r="9" spans="1:9">
      <c r="C9" s="5">
        <v>3.1</v>
      </c>
      <c r="D9" s="6" t="s">
        <v>12</v>
      </c>
      <c r="E9" s="7"/>
      <c r="F9" s="7" t="e">
        <f>SUM(#REF!)</f>
        <v>#REF!</v>
      </c>
      <c r="G9" s="7" t="e">
        <f>SUM(#REF!)</f>
        <v>#REF!</v>
      </c>
      <c r="H9" s="7" t="e">
        <f>#REF!</f>
        <v>#REF!</v>
      </c>
      <c r="I9" s="8" t="e">
        <f>#REF!</f>
        <v>#REF!</v>
      </c>
    </row>
    <row r="10" spans="1:9">
      <c r="C10" s="9">
        <v>4</v>
      </c>
      <c r="D10" s="6" t="s">
        <v>13</v>
      </c>
      <c r="E10" s="7"/>
      <c r="F10" s="7"/>
      <c r="G10" s="7"/>
      <c r="H10" s="7"/>
      <c r="I10" s="8"/>
    </row>
    <row r="11" spans="1:9">
      <c r="C11" s="9">
        <v>4</v>
      </c>
      <c r="D11" s="6" t="s">
        <v>14</v>
      </c>
      <c r="E11" s="7"/>
      <c r="F11" s="7"/>
      <c r="G11" s="7"/>
      <c r="H11" s="7"/>
      <c r="I11" s="8"/>
    </row>
    <row r="12" spans="1:9" ht="29">
      <c r="C12" s="9">
        <v>4</v>
      </c>
      <c r="D12" s="6" t="s">
        <v>15</v>
      </c>
      <c r="E12" s="7"/>
      <c r="H12" s="7">
        <v>0</v>
      </c>
      <c r="I12" s="8">
        <v>0</v>
      </c>
    </row>
    <row r="13" spans="1:9">
      <c r="C13" s="9">
        <v>4</v>
      </c>
      <c r="D13" s="6" t="s">
        <v>16</v>
      </c>
      <c r="E13" s="7"/>
      <c r="F13" s="7"/>
      <c r="G13" s="10"/>
      <c r="H13" s="7"/>
      <c r="I13" s="8"/>
    </row>
    <row r="14" spans="1:9" ht="29">
      <c r="C14" s="9">
        <v>5</v>
      </c>
      <c r="D14" s="6" t="s">
        <v>17</v>
      </c>
      <c r="E14" s="7"/>
      <c r="F14" s="7"/>
      <c r="G14" s="7"/>
      <c r="H14" s="7"/>
      <c r="I14" s="8"/>
    </row>
    <row r="15" spans="1:9" ht="29">
      <c r="C15" s="11">
        <v>5</v>
      </c>
      <c r="D15" s="12" t="s">
        <v>18</v>
      </c>
      <c r="E15" s="13"/>
      <c r="F15" s="13"/>
      <c r="G15" s="13"/>
      <c r="H15" s="13"/>
      <c r="I15" s="14"/>
    </row>
    <row r="18" spans="1:12">
      <c r="A18" s="15" t="s">
        <v>19</v>
      </c>
    </row>
    <row r="20" spans="1:12" s="20" customFormat="1" ht="13">
      <c r="A20" s="24"/>
      <c r="B20" s="28"/>
      <c r="C20" s="24"/>
      <c r="D20" s="25"/>
      <c r="E20" s="26"/>
      <c r="F20" s="22"/>
      <c r="G20" s="22"/>
      <c r="H20" s="22"/>
      <c r="I20" s="23"/>
      <c r="K20" s="21"/>
      <c r="L20" s="21"/>
    </row>
    <row r="21" spans="1:12" s="20" customFormat="1" ht="13">
      <c r="A21" s="24"/>
      <c r="B21" s="28"/>
      <c r="C21" s="24"/>
      <c r="D21" s="25"/>
      <c r="E21" s="26"/>
      <c r="F21" s="22"/>
      <c r="G21" s="22"/>
      <c r="H21" s="22"/>
      <c r="I21" s="23"/>
      <c r="K21" s="21"/>
      <c r="L21" s="21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9"/>
  <sheetViews>
    <sheetView tabSelected="1" workbookViewId="0">
      <pane ySplit="1" topLeftCell="A164" activePane="bottomLeft" state="frozen"/>
      <selection pane="bottomLeft" activeCell="A5" sqref="A5:M169"/>
    </sheetView>
  </sheetViews>
  <sheetFormatPr defaultColWidth="9.1796875" defaultRowHeight="14.5"/>
  <cols>
    <col min="1" max="1" width="13.1796875" customWidth="1"/>
    <col min="2" max="2" width="12.453125" customWidth="1"/>
    <col min="3" max="3" width="15.7265625" customWidth="1"/>
    <col min="4" max="4" width="15.7265625" style="29" customWidth="1"/>
    <col min="5" max="5" width="40.26953125" customWidth="1"/>
    <col min="6" max="6" width="13.54296875" customWidth="1"/>
    <col min="7" max="7" width="12.26953125" customWidth="1"/>
    <col min="8" max="8" width="11.81640625" customWidth="1"/>
    <col min="9" max="9" width="16.26953125" customWidth="1"/>
    <col min="10" max="10" width="14.54296875" customWidth="1"/>
    <col min="12" max="12" width="11.453125" customWidth="1"/>
    <col min="13" max="13" width="11.7265625" customWidth="1"/>
  </cols>
  <sheetData>
    <row r="1" spans="1:13" ht="43.5">
      <c r="A1" s="33" t="s">
        <v>20</v>
      </c>
      <c r="B1" s="33" t="s">
        <v>21</v>
      </c>
      <c r="C1" s="33" t="s">
        <v>22</v>
      </c>
      <c r="D1" s="32" t="s">
        <v>31</v>
      </c>
      <c r="E1" s="33" t="s">
        <v>23</v>
      </c>
      <c r="F1" s="33" t="s">
        <v>24</v>
      </c>
      <c r="G1" s="34" t="s">
        <v>25</v>
      </c>
      <c r="H1" s="34" t="s">
        <v>26</v>
      </c>
      <c r="I1" s="33" t="s">
        <v>27</v>
      </c>
      <c r="J1" s="34" t="s">
        <v>28</v>
      </c>
      <c r="K1" s="19"/>
      <c r="L1" s="35" t="s">
        <v>29</v>
      </c>
      <c r="M1" s="35" t="s">
        <v>30</v>
      </c>
    </row>
    <row r="2" spans="1:13" ht="15" customHeight="1">
      <c r="A2" s="39">
        <v>45014</v>
      </c>
      <c r="B2" t="s">
        <v>32</v>
      </c>
      <c r="C2" s="30" t="s">
        <v>34</v>
      </c>
      <c r="D2" s="38" t="s">
        <v>37</v>
      </c>
      <c r="E2" s="30" t="s">
        <v>40</v>
      </c>
      <c r="F2" s="31">
        <v>118671.86</v>
      </c>
      <c r="G2" s="31">
        <v>0</v>
      </c>
      <c r="H2" s="31">
        <v>16614</v>
      </c>
      <c r="I2" s="31">
        <v>16614</v>
      </c>
      <c r="J2" s="31">
        <v>151899.98000000001</v>
      </c>
    </row>
    <row r="3" spans="1:13">
      <c r="A3" s="39">
        <v>45005</v>
      </c>
      <c r="B3" t="s">
        <v>32</v>
      </c>
      <c r="C3" s="30">
        <v>10</v>
      </c>
      <c r="D3" s="37" t="s">
        <v>36</v>
      </c>
      <c r="E3" s="30" t="s">
        <v>39</v>
      </c>
      <c r="F3" s="31">
        <v>15750</v>
      </c>
      <c r="G3" s="31">
        <v>0</v>
      </c>
      <c r="H3" s="31">
        <v>1417.5</v>
      </c>
      <c r="I3" s="31">
        <v>1417.5</v>
      </c>
      <c r="J3" s="31">
        <v>18585</v>
      </c>
    </row>
    <row r="4" spans="1:13">
      <c r="A4" s="39">
        <v>44999</v>
      </c>
      <c r="B4" t="s">
        <v>32</v>
      </c>
      <c r="C4" s="30" t="s">
        <v>33</v>
      </c>
      <c r="D4" s="36" t="s">
        <v>35</v>
      </c>
      <c r="E4" s="30" t="s">
        <v>38</v>
      </c>
      <c r="F4" s="31">
        <v>427.62</v>
      </c>
      <c r="G4" s="31">
        <v>21.38</v>
      </c>
      <c r="H4" s="31">
        <v>0</v>
      </c>
      <c r="I4" s="31">
        <v>0</v>
      </c>
      <c r="J4" s="31">
        <v>449</v>
      </c>
    </row>
    <row r="5" spans="1:13">
      <c r="A5" s="40">
        <v>44229</v>
      </c>
      <c r="B5" t="s">
        <v>32</v>
      </c>
      <c r="C5" s="30" t="s">
        <v>41</v>
      </c>
      <c r="D5" s="30" t="s">
        <v>42</v>
      </c>
      <c r="E5" s="30" t="s">
        <v>43</v>
      </c>
      <c r="F5" s="31">
        <v>7500</v>
      </c>
      <c r="G5" s="31">
        <v>0</v>
      </c>
      <c r="H5" s="31">
        <v>675</v>
      </c>
      <c r="I5" s="31">
        <v>675</v>
      </c>
      <c r="J5" s="31">
        <v>8850</v>
      </c>
    </row>
    <row r="6" spans="1:13">
      <c r="A6" s="40">
        <v>44229</v>
      </c>
      <c r="B6" t="s">
        <v>32</v>
      </c>
      <c r="C6" s="30" t="s">
        <v>44</v>
      </c>
      <c r="D6" s="30" t="s">
        <v>42</v>
      </c>
      <c r="E6" s="30" t="s">
        <v>43</v>
      </c>
      <c r="F6" s="31">
        <v>13900</v>
      </c>
      <c r="G6" s="31">
        <v>0</v>
      </c>
      <c r="H6" s="31">
        <v>1251</v>
      </c>
      <c r="I6" s="31">
        <v>1251</v>
      </c>
      <c r="J6" s="31">
        <v>16402</v>
      </c>
    </row>
    <row r="7" spans="1:13">
      <c r="A7" s="40">
        <v>44231</v>
      </c>
      <c r="B7" t="s">
        <v>32</v>
      </c>
      <c r="C7" s="30" t="s">
        <v>45</v>
      </c>
      <c r="D7" s="30" t="s">
        <v>46</v>
      </c>
      <c r="E7" s="30" t="s">
        <v>47</v>
      </c>
      <c r="F7" s="31">
        <v>2762.6</v>
      </c>
      <c r="G7" s="31">
        <v>0</v>
      </c>
      <c r="H7" s="31">
        <v>248.63</v>
      </c>
      <c r="I7" s="31">
        <v>248.63</v>
      </c>
      <c r="J7" s="31">
        <v>3260</v>
      </c>
    </row>
    <row r="8" spans="1:13">
      <c r="A8" s="40">
        <v>44251</v>
      </c>
      <c r="B8" t="s">
        <v>32</v>
      </c>
      <c r="C8" s="30" t="s">
        <v>48</v>
      </c>
      <c r="D8" s="30" t="s">
        <v>46</v>
      </c>
      <c r="E8" s="30" t="s">
        <v>47</v>
      </c>
      <c r="F8" s="31">
        <v>3258.5</v>
      </c>
      <c r="G8" s="31">
        <v>0</v>
      </c>
      <c r="H8" s="31">
        <v>293.27</v>
      </c>
      <c r="I8" s="31">
        <v>293.27</v>
      </c>
      <c r="J8" s="31">
        <v>3845</v>
      </c>
    </row>
    <row r="9" spans="1:13">
      <c r="A9" s="40">
        <v>44118</v>
      </c>
      <c r="B9" t="s">
        <v>32</v>
      </c>
      <c r="C9" s="30">
        <v>266</v>
      </c>
      <c r="D9" s="30" t="s">
        <v>49</v>
      </c>
      <c r="E9" s="30" t="s">
        <v>50</v>
      </c>
      <c r="F9" s="31">
        <v>400</v>
      </c>
      <c r="G9" s="31">
        <v>0</v>
      </c>
      <c r="H9" s="31">
        <v>36</v>
      </c>
      <c r="I9" s="31">
        <v>36</v>
      </c>
      <c r="J9" s="31">
        <v>472</v>
      </c>
    </row>
    <row r="10" spans="1:13">
      <c r="A10" s="40">
        <v>44251</v>
      </c>
      <c r="B10" t="s">
        <v>32</v>
      </c>
      <c r="C10" s="30" t="s">
        <v>51</v>
      </c>
      <c r="D10" s="30" t="s">
        <v>52</v>
      </c>
      <c r="E10" s="30" t="s">
        <v>53</v>
      </c>
      <c r="F10" s="31">
        <v>58200</v>
      </c>
      <c r="G10" s="31">
        <v>10476</v>
      </c>
      <c r="H10" s="31">
        <v>0</v>
      </c>
      <c r="I10" s="31">
        <v>0</v>
      </c>
      <c r="J10" s="31">
        <v>68676</v>
      </c>
    </row>
    <row r="11" spans="1:13">
      <c r="A11" s="40">
        <v>44229</v>
      </c>
      <c r="B11" t="s">
        <v>32</v>
      </c>
      <c r="C11" s="30" t="s">
        <v>54</v>
      </c>
      <c r="D11" s="30" t="s">
        <v>55</v>
      </c>
      <c r="E11" s="30" t="s">
        <v>56</v>
      </c>
      <c r="F11" s="31">
        <v>21000</v>
      </c>
      <c r="G11" s="31">
        <v>3780</v>
      </c>
      <c r="H11" s="31">
        <v>0</v>
      </c>
      <c r="I11" s="31">
        <v>0</v>
      </c>
      <c r="J11" s="31">
        <v>0</v>
      </c>
    </row>
    <row r="12" spans="1:13">
      <c r="A12" s="40">
        <v>44230</v>
      </c>
      <c r="B12" t="s">
        <v>32</v>
      </c>
      <c r="C12" s="30" t="s">
        <v>57</v>
      </c>
      <c r="D12" s="30" t="s">
        <v>58</v>
      </c>
      <c r="E12" s="30" t="s">
        <v>59</v>
      </c>
      <c r="F12" s="31">
        <v>50</v>
      </c>
      <c r="G12" s="31">
        <v>0</v>
      </c>
      <c r="H12" s="31">
        <v>4.5</v>
      </c>
      <c r="I12" s="31">
        <v>4.5</v>
      </c>
      <c r="J12" s="31">
        <v>59</v>
      </c>
    </row>
    <row r="13" spans="1:13">
      <c r="A13" s="40">
        <v>44231</v>
      </c>
      <c r="B13" t="s">
        <v>32</v>
      </c>
      <c r="C13" s="30" t="s">
        <v>60</v>
      </c>
      <c r="D13" s="30" t="s">
        <v>58</v>
      </c>
      <c r="E13" s="30" t="s">
        <v>59</v>
      </c>
      <c r="F13" s="31">
        <v>25</v>
      </c>
      <c r="G13" s="31">
        <v>0</v>
      </c>
      <c r="H13" s="31">
        <v>2.25</v>
      </c>
      <c r="I13" s="31">
        <v>2.25</v>
      </c>
      <c r="J13" s="31">
        <v>29.5</v>
      </c>
    </row>
    <row r="14" spans="1:13">
      <c r="A14" s="40">
        <v>44232</v>
      </c>
      <c r="B14" t="s">
        <v>32</v>
      </c>
      <c r="C14" s="30" t="s">
        <v>61</v>
      </c>
      <c r="D14" s="30" t="s">
        <v>58</v>
      </c>
      <c r="E14" s="30" t="s">
        <v>59</v>
      </c>
      <c r="F14" s="31">
        <v>20</v>
      </c>
      <c r="G14" s="31">
        <v>0</v>
      </c>
      <c r="H14" s="31">
        <v>1.8</v>
      </c>
      <c r="I14" s="31">
        <v>1.8</v>
      </c>
      <c r="J14" s="31">
        <v>23.6</v>
      </c>
    </row>
    <row r="15" spans="1:13">
      <c r="A15" s="40">
        <v>44232</v>
      </c>
      <c r="B15" t="s">
        <v>32</v>
      </c>
      <c r="C15" s="30" t="s">
        <v>62</v>
      </c>
      <c r="D15" s="30" t="s">
        <v>58</v>
      </c>
      <c r="E15" s="30" t="s">
        <v>59</v>
      </c>
      <c r="F15" s="31">
        <v>20</v>
      </c>
      <c r="G15" s="31">
        <v>0</v>
      </c>
      <c r="H15" s="31">
        <v>1.8</v>
      </c>
      <c r="I15" s="31">
        <v>1.8</v>
      </c>
      <c r="J15" s="31">
        <v>23.6</v>
      </c>
    </row>
    <row r="16" spans="1:13">
      <c r="A16" s="40">
        <v>44242</v>
      </c>
      <c r="B16" t="s">
        <v>32</v>
      </c>
      <c r="C16" s="30">
        <v>289</v>
      </c>
      <c r="D16" s="30" t="s">
        <v>49</v>
      </c>
      <c r="E16" s="30" t="s">
        <v>50</v>
      </c>
      <c r="F16" s="31">
        <v>950</v>
      </c>
      <c r="G16" s="31">
        <v>0</v>
      </c>
      <c r="H16" s="31">
        <v>85.5</v>
      </c>
      <c r="I16" s="31">
        <v>85.5</v>
      </c>
      <c r="J16" s="31">
        <v>1121</v>
      </c>
    </row>
    <row r="17" spans="1:10">
      <c r="A17" s="40">
        <v>44246</v>
      </c>
      <c r="B17" t="s">
        <v>32</v>
      </c>
      <c r="C17" s="30">
        <v>292</v>
      </c>
      <c r="D17" s="30" t="s">
        <v>49</v>
      </c>
      <c r="E17" s="30" t="s">
        <v>63</v>
      </c>
      <c r="F17" s="31">
        <v>500</v>
      </c>
      <c r="G17" s="31">
        <v>0</v>
      </c>
      <c r="H17" s="31">
        <v>45</v>
      </c>
      <c r="I17" s="31">
        <v>45</v>
      </c>
      <c r="J17" s="31">
        <v>590</v>
      </c>
    </row>
    <row r="18" spans="1:10">
      <c r="A18" s="40">
        <v>44230</v>
      </c>
      <c r="B18" t="s">
        <v>32</v>
      </c>
      <c r="C18" s="30" t="s">
        <v>64</v>
      </c>
      <c r="D18" s="30" t="s">
        <v>65</v>
      </c>
      <c r="E18" s="30" t="s">
        <v>66</v>
      </c>
      <c r="F18" s="31">
        <v>2000</v>
      </c>
      <c r="G18" s="31">
        <v>0</v>
      </c>
      <c r="H18" s="31">
        <v>180</v>
      </c>
      <c r="I18" s="31">
        <v>180</v>
      </c>
      <c r="J18" s="31">
        <v>0</v>
      </c>
    </row>
    <row r="19" spans="1:10">
      <c r="A19" s="40">
        <v>44246</v>
      </c>
      <c r="B19" t="s">
        <v>32</v>
      </c>
      <c r="C19" s="30" t="s">
        <v>67</v>
      </c>
      <c r="D19" s="30" t="s">
        <v>65</v>
      </c>
      <c r="E19" s="30" t="s">
        <v>66</v>
      </c>
      <c r="F19" s="31">
        <v>162.56</v>
      </c>
      <c r="G19" s="31">
        <v>0</v>
      </c>
      <c r="H19" s="31">
        <v>14.63</v>
      </c>
      <c r="I19" s="31">
        <v>14.63</v>
      </c>
      <c r="J19" s="31">
        <v>192</v>
      </c>
    </row>
    <row r="20" spans="1:10">
      <c r="A20" s="40">
        <v>44232</v>
      </c>
      <c r="B20" t="s">
        <v>32</v>
      </c>
      <c r="C20" s="30">
        <v>8755</v>
      </c>
      <c r="D20" s="30" t="s">
        <v>68</v>
      </c>
      <c r="E20" s="30" t="s">
        <v>69</v>
      </c>
      <c r="F20" s="31">
        <v>768.7</v>
      </c>
      <c r="G20" s="31">
        <v>0</v>
      </c>
      <c r="H20" s="31">
        <v>69</v>
      </c>
      <c r="I20" s="31">
        <v>69</v>
      </c>
      <c r="J20" s="31">
        <v>907</v>
      </c>
    </row>
    <row r="21" spans="1:10">
      <c r="A21" s="40">
        <v>44235</v>
      </c>
      <c r="B21" t="s">
        <v>32</v>
      </c>
      <c r="C21" s="30" t="s">
        <v>70</v>
      </c>
      <c r="D21" s="30" t="s">
        <v>68</v>
      </c>
      <c r="E21" s="30" t="s">
        <v>69</v>
      </c>
      <c r="F21" s="31">
        <v>30.34</v>
      </c>
      <c r="G21" s="31">
        <v>0</v>
      </c>
      <c r="H21" s="31">
        <v>3</v>
      </c>
      <c r="I21" s="31">
        <v>3</v>
      </c>
      <c r="J21" s="31">
        <v>36</v>
      </c>
    </row>
    <row r="22" spans="1:10">
      <c r="A22" s="40">
        <v>44255</v>
      </c>
      <c r="B22" t="s">
        <v>32</v>
      </c>
      <c r="C22" s="30" t="s">
        <v>71</v>
      </c>
      <c r="D22" s="30" t="s">
        <v>72</v>
      </c>
      <c r="E22" s="30" t="s">
        <v>73</v>
      </c>
      <c r="F22" s="31">
        <v>2188.89</v>
      </c>
      <c r="G22" s="31">
        <v>0</v>
      </c>
      <c r="H22" s="31">
        <v>197</v>
      </c>
      <c r="I22" s="31">
        <v>197</v>
      </c>
      <c r="J22" s="31">
        <v>2582.89</v>
      </c>
    </row>
    <row r="23" spans="1:10">
      <c r="A23" s="40">
        <v>44245</v>
      </c>
      <c r="B23" t="s">
        <v>32</v>
      </c>
      <c r="C23" s="30" t="s">
        <v>74</v>
      </c>
      <c r="D23" s="30" t="s">
        <v>75</v>
      </c>
      <c r="E23" s="30" t="s">
        <v>76</v>
      </c>
      <c r="F23" s="31">
        <v>6616</v>
      </c>
      <c r="G23" s="31">
        <v>0</v>
      </c>
      <c r="H23" s="31">
        <v>926.24</v>
      </c>
      <c r="I23" s="31">
        <v>926.24</v>
      </c>
      <c r="J23" s="31">
        <v>8468</v>
      </c>
    </row>
    <row r="24" spans="1:10">
      <c r="A24" s="40">
        <v>44245</v>
      </c>
      <c r="B24" t="s">
        <v>32</v>
      </c>
      <c r="C24" s="30" t="s">
        <v>77</v>
      </c>
      <c r="D24" s="30" t="s">
        <v>75</v>
      </c>
      <c r="E24" s="30" t="s">
        <v>76</v>
      </c>
      <c r="F24" s="31">
        <v>28</v>
      </c>
      <c r="G24" s="31">
        <v>0</v>
      </c>
      <c r="H24" s="31">
        <v>0.7</v>
      </c>
      <c r="I24" s="31">
        <v>0.7</v>
      </c>
      <c r="J24" s="31">
        <v>6181</v>
      </c>
    </row>
    <row r="25" spans="1:10">
      <c r="A25" s="40">
        <v>44245</v>
      </c>
      <c r="B25" t="s">
        <v>32</v>
      </c>
      <c r="C25" s="30" t="s">
        <v>77</v>
      </c>
      <c r="D25" s="30" t="s">
        <v>75</v>
      </c>
      <c r="E25" s="30" t="s">
        <v>76</v>
      </c>
      <c r="F25" s="31">
        <v>5213.6400000000003</v>
      </c>
      <c r="G25" s="31">
        <v>0</v>
      </c>
      <c r="H25" s="31">
        <v>469.23</v>
      </c>
      <c r="I25" s="31">
        <v>469.23</v>
      </c>
      <c r="J25" s="31">
        <v>6181</v>
      </c>
    </row>
    <row r="26" spans="1:10">
      <c r="A26" s="40">
        <v>44216</v>
      </c>
      <c r="B26" t="s">
        <v>32</v>
      </c>
      <c r="C26" s="30">
        <v>2421</v>
      </c>
      <c r="D26" s="30" t="s">
        <v>78</v>
      </c>
      <c r="E26" s="30" t="s">
        <v>79</v>
      </c>
      <c r="F26" s="31">
        <v>457.74</v>
      </c>
      <c r="G26" s="31">
        <v>0</v>
      </c>
      <c r="H26" s="31">
        <v>41</v>
      </c>
      <c r="I26" s="31">
        <v>41</v>
      </c>
      <c r="J26" s="31">
        <v>540</v>
      </c>
    </row>
    <row r="27" spans="1:10">
      <c r="A27" s="40">
        <v>44156</v>
      </c>
      <c r="B27" t="s">
        <v>32</v>
      </c>
      <c r="C27" s="30">
        <v>272</v>
      </c>
      <c r="D27" s="30" t="s">
        <v>49</v>
      </c>
      <c r="E27" s="30" t="s">
        <v>50</v>
      </c>
      <c r="F27" s="31">
        <v>300</v>
      </c>
      <c r="G27" s="31">
        <v>0</v>
      </c>
      <c r="H27" s="31">
        <v>27</v>
      </c>
      <c r="I27" s="31">
        <v>27</v>
      </c>
      <c r="J27" s="31">
        <v>354</v>
      </c>
    </row>
    <row r="28" spans="1:10">
      <c r="A28" s="40">
        <v>44245</v>
      </c>
      <c r="B28" t="s">
        <v>32</v>
      </c>
      <c r="C28" s="30" t="s">
        <v>80</v>
      </c>
      <c r="D28" s="30" t="s">
        <v>81</v>
      </c>
      <c r="E28" s="30" t="s">
        <v>82</v>
      </c>
      <c r="F28" s="31">
        <v>6890</v>
      </c>
      <c r="G28" s="31">
        <v>0</v>
      </c>
      <c r="H28" s="31">
        <v>620.1</v>
      </c>
      <c r="I28" s="31">
        <v>620.1</v>
      </c>
      <c r="J28" s="31">
        <v>8130</v>
      </c>
    </row>
    <row r="29" spans="1:10">
      <c r="A29" s="40">
        <v>44247</v>
      </c>
      <c r="B29" t="s">
        <v>32</v>
      </c>
      <c r="C29" s="30" t="s">
        <v>83</v>
      </c>
      <c r="D29" s="30" t="s">
        <v>81</v>
      </c>
      <c r="E29" s="30" t="s">
        <v>82</v>
      </c>
      <c r="F29" s="31">
        <v>720</v>
      </c>
      <c r="G29" s="31">
        <v>0</v>
      </c>
      <c r="H29" s="31">
        <v>64.8</v>
      </c>
      <c r="I29" s="31">
        <v>64.8</v>
      </c>
      <c r="J29" s="31">
        <v>850</v>
      </c>
    </row>
    <row r="30" spans="1:10">
      <c r="A30" s="40">
        <v>44174</v>
      </c>
      <c r="B30" t="s">
        <v>32</v>
      </c>
      <c r="C30" s="30">
        <v>79</v>
      </c>
      <c r="D30" s="30" t="s">
        <v>84</v>
      </c>
      <c r="E30" s="30" t="s">
        <v>85</v>
      </c>
      <c r="F30" s="31">
        <v>8590</v>
      </c>
      <c r="G30" s="31">
        <v>0</v>
      </c>
      <c r="H30" s="31">
        <v>773</v>
      </c>
      <c r="I30" s="31">
        <v>773</v>
      </c>
      <c r="J30" s="31">
        <v>10136</v>
      </c>
    </row>
    <row r="31" spans="1:10">
      <c r="A31" s="40">
        <v>44232</v>
      </c>
      <c r="B31" t="s">
        <v>32</v>
      </c>
      <c r="C31" s="30" t="s">
        <v>86</v>
      </c>
      <c r="D31" s="30" t="s">
        <v>87</v>
      </c>
      <c r="E31" s="30" t="s">
        <v>88</v>
      </c>
      <c r="F31" s="31">
        <v>3350</v>
      </c>
      <c r="G31" s="31">
        <v>603</v>
      </c>
      <c r="H31" s="31">
        <v>0</v>
      </c>
      <c r="I31" s="31">
        <v>0</v>
      </c>
      <c r="J31" s="31">
        <v>3953</v>
      </c>
    </row>
    <row r="32" spans="1:10">
      <c r="A32" s="40">
        <v>44243</v>
      </c>
      <c r="B32" t="s">
        <v>32</v>
      </c>
      <c r="C32" s="30">
        <v>202104835</v>
      </c>
      <c r="D32" s="30" t="s">
        <v>89</v>
      </c>
      <c r="E32" s="30" t="s">
        <v>90</v>
      </c>
      <c r="F32" s="31">
        <v>1400</v>
      </c>
      <c r="G32" s="31">
        <v>252</v>
      </c>
      <c r="H32" s="31">
        <v>0</v>
      </c>
      <c r="I32" s="31">
        <v>0</v>
      </c>
      <c r="J32" s="31">
        <v>1652</v>
      </c>
    </row>
    <row r="33" spans="1:10">
      <c r="A33" s="40">
        <v>44232</v>
      </c>
      <c r="B33" t="s">
        <v>32</v>
      </c>
      <c r="C33" s="30" t="s">
        <v>91</v>
      </c>
      <c r="D33" s="30" t="s">
        <v>92</v>
      </c>
      <c r="E33" s="30" t="s">
        <v>93</v>
      </c>
      <c r="F33" s="31">
        <v>5688</v>
      </c>
      <c r="G33" s="31">
        <v>0</v>
      </c>
      <c r="H33" s="31">
        <v>511.92</v>
      </c>
      <c r="I33" s="31">
        <v>511.92</v>
      </c>
      <c r="J33" s="31">
        <v>6712</v>
      </c>
    </row>
    <row r="34" spans="1:10">
      <c r="A34" s="40">
        <v>44229</v>
      </c>
      <c r="B34" t="s">
        <v>32</v>
      </c>
      <c r="C34" s="30">
        <v>194</v>
      </c>
      <c r="D34" s="30" t="s">
        <v>94</v>
      </c>
      <c r="E34" s="30" t="s">
        <v>95</v>
      </c>
      <c r="F34" s="31">
        <v>24413</v>
      </c>
      <c r="G34" s="31">
        <v>0</v>
      </c>
      <c r="H34" s="31">
        <v>2197.17</v>
      </c>
      <c r="I34" s="31">
        <v>2197.17</v>
      </c>
      <c r="J34" s="31">
        <v>28807.34</v>
      </c>
    </row>
    <row r="35" spans="1:10">
      <c r="A35" s="40">
        <v>44246</v>
      </c>
      <c r="B35" t="s">
        <v>32</v>
      </c>
      <c r="C35" s="30">
        <v>207</v>
      </c>
      <c r="D35" s="30" t="s">
        <v>94</v>
      </c>
      <c r="E35" s="30" t="s">
        <v>95</v>
      </c>
      <c r="F35" s="31">
        <v>20000</v>
      </c>
      <c r="G35" s="31">
        <v>0</v>
      </c>
      <c r="H35" s="31">
        <v>1800</v>
      </c>
      <c r="I35" s="31">
        <v>1800</v>
      </c>
      <c r="J35" s="31">
        <v>0</v>
      </c>
    </row>
    <row r="36" spans="1:10">
      <c r="A36" s="40">
        <v>44249</v>
      </c>
      <c r="B36" t="s">
        <v>32</v>
      </c>
      <c r="C36" s="30">
        <v>214</v>
      </c>
      <c r="D36" s="30" t="s">
        <v>94</v>
      </c>
      <c r="E36" s="30" t="s">
        <v>95</v>
      </c>
      <c r="F36" s="31">
        <v>14430</v>
      </c>
      <c r="G36" s="31">
        <v>0</v>
      </c>
      <c r="H36" s="31">
        <v>1298.7</v>
      </c>
      <c r="I36" s="31">
        <v>1298.7</v>
      </c>
      <c r="J36" s="31">
        <v>17027.400000000001</v>
      </c>
    </row>
    <row r="37" spans="1:10">
      <c r="A37" s="40">
        <v>43838</v>
      </c>
      <c r="B37" t="s">
        <v>32</v>
      </c>
      <c r="C37" s="30">
        <v>2902</v>
      </c>
      <c r="D37" s="30" t="s">
        <v>96</v>
      </c>
      <c r="E37" s="30" t="s">
        <v>97</v>
      </c>
      <c r="F37" s="31">
        <v>5760</v>
      </c>
      <c r="G37" s="31">
        <v>0</v>
      </c>
      <c r="H37" s="31">
        <v>345.6</v>
      </c>
      <c r="I37" s="31">
        <v>345.6</v>
      </c>
      <c r="J37" s="31">
        <v>6493</v>
      </c>
    </row>
    <row r="38" spans="1:10">
      <c r="A38" s="40">
        <v>43838</v>
      </c>
      <c r="B38" t="s">
        <v>32</v>
      </c>
      <c r="C38" s="30">
        <v>2902</v>
      </c>
      <c r="D38" s="30" t="s">
        <v>96</v>
      </c>
      <c r="E38" s="30" t="s">
        <v>97</v>
      </c>
      <c r="F38" s="31">
        <v>40</v>
      </c>
      <c r="G38" s="31">
        <v>0</v>
      </c>
      <c r="H38" s="31">
        <v>1</v>
      </c>
      <c r="I38" s="31">
        <v>1</v>
      </c>
      <c r="J38" s="31">
        <v>6493</v>
      </c>
    </row>
    <row r="39" spans="1:10">
      <c r="A39" s="40">
        <v>44233</v>
      </c>
      <c r="B39" t="s">
        <v>32</v>
      </c>
      <c r="C39" s="30" t="s">
        <v>98</v>
      </c>
      <c r="D39" s="30" t="s">
        <v>99</v>
      </c>
      <c r="E39" s="30" t="s">
        <v>100</v>
      </c>
      <c r="F39" s="31">
        <v>270</v>
      </c>
      <c r="G39" s="31">
        <v>48.6</v>
      </c>
      <c r="H39" s="31">
        <v>0</v>
      </c>
      <c r="I39" s="31">
        <v>0</v>
      </c>
      <c r="J39" s="31">
        <v>318.60000000000002</v>
      </c>
    </row>
    <row r="40" spans="1:10">
      <c r="A40" s="40">
        <v>44239</v>
      </c>
      <c r="B40" t="s">
        <v>32</v>
      </c>
      <c r="C40" s="30" t="s">
        <v>101</v>
      </c>
      <c r="D40" s="30" t="s">
        <v>99</v>
      </c>
      <c r="E40" s="30" t="s">
        <v>100</v>
      </c>
      <c r="F40" s="31">
        <v>1055</v>
      </c>
      <c r="G40" s="31">
        <v>189.9</v>
      </c>
      <c r="H40" s="31">
        <v>0</v>
      </c>
      <c r="I40" s="31">
        <v>0</v>
      </c>
      <c r="J40" s="31">
        <v>1244.9000000000001</v>
      </c>
    </row>
    <row r="41" spans="1:10">
      <c r="A41" s="40">
        <v>44254</v>
      </c>
      <c r="B41" t="s">
        <v>32</v>
      </c>
      <c r="C41" s="30" t="s">
        <v>102</v>
      </c>
      <c r="D41" s="30" t="s">
        <v>99</v>
      </c>
      <c r="E41" s="30" t="s">
        <v>100</v>
      </c>
      <c r="F41" s="31">
        <v>670</v>
      </c>
      <c r="G41" s="31">
        <v>120.6</v>
      </c>
      <c r="H41" s="31">
        <v>0</v>
      </c>
      <c r="I41" s="31">
        <v>0</v>
      </c>
      <c r="J41" s="31">
        <v>790.6</v>
      </c>
    </row>
    <row r="42" spans="1:10">
      <c r="A42" s="40">
        <v>44255</v>
      </c>
      <c r="B42" t="s">
        <v>32</v>
      </c>
      <c r="C42" s="30" t="s">
        <v>103</v>
      </c>
      <c r="D42" s="30" t="s">
        <v>99</v>
      </c>
      <c r="E42" s="30" t="s">
        <v>100</v>
      </c>
      <c r="F42" s="31">
        <v>600</v>
      </c>
      <c r="G42" s="31">
        <v>108</v>
      </c>
      <c r="H42" s="31">
        <v>0</v>
      </c>
      <c r="I42" s="31">
        <v>0</v>
      </c>
      <c r="J42" s="31">
        <v>708</v>
      </c>
    </row>
    <row r="43" spans="1:10">
      <c r="A43" s="40">
        <v>44226</v>
      </c>
      <c r="B43" t="s">
        <v>32</v>
      </c>
      <c r="C43" s="30" t="s">
        <v>104</v>
      </c>
      <c r="D43" s="30" t="s">
        <v>105</v>
      </c>
      <c r="E43" s="30" t="s">
        <v>106</v>
      </c>
      <c r="F43" s="31">
        <v>3938</v>
      </c>
      <c r="G43" s="31">
        <v>0</v>
      </c>
      <c r="H43" s="31">
        <v>354.42</v>
      </c>
      <c r="I43" s="31">
        <v>354.42</v>
      </c>
      <c r="J43" s="31">
        <v>4646.84</v>
      </c>
    </row>
    <row r="44" spans="1:10">
      <c r="A44" s="40">
        <v>44244</v>
      </c>
      <c r="B44" t="s">
        <v>32</v>
      </c>
      <c r="C44" s="30" t="s">
        <v>107</v>
      </c>
      <c r="D44" s="30" t="s">
        <v>108</v>
      </c>
      <c r="E44" s="30" t="s">
        <v>109</v>
      </c>
      <c r="F44" s="31">
        <v>500</v>
      </c>
      <c r="G44" s="31">
        <v>0</v>
      </c>
      <c r="H44" s="31">
        <v>45</v>
      </c>
      <c r="I44" s="31">
        <v>45</v>
      </c>
      <c r="J44" s="31">
        <v>0</v>
      </c>
    </row>
    <row r="45" spans="1:10">
      <c r="A45" s="40">
        <v>44244</v>
      </c>
      <c r="B45" t="s">
        <v>32</v>
      </c>
      <c r="C45" s="30" t="s">
        <v>110</v>
      </c>
      <c r="D45" s="30" t="s">
        <v>108</v>
      </c>
      <c r="E45" s="30" t="s">
        <v>109</v>
      </c>
      <c r="F45" s="31">
        <v>9148.11</v>
      </c>
      <c r="G45" s="31">
        <v>0</v>
      </c>
      <c r="H45" s="31">
        <v>823.33</v>
      </c>
      <c r="I45" s="31">
        <v>823.33</v>
      </c>
      <c r="J45" s="31">
        <v>10795</v>
      </c>
    </row>
    <row r="46" spans="1:10">
      <c r="A46" s="40">
        <v>44254</v>
      </c>
      <c r="B46" t="s">
        <v>32</v>
      </c>
      <c r="C46" s="30" t="s">
        <v>111</v>
      </c>
      <c r="D46" s="30" t="s">
        <v>108</v>
      </c>
      <c r="E46" s="30" t="s">
        <v>109</v>
      </c>
      <c r="F46" s="31">
        <v>2820.87</v>
      </c>
      <c r="G46" s="31">
        <v>0</v>
      </c>
      <c r="H46" s="31">
        <v>253.88</v>
      </c>
      <c r="I46" s="31">
        <v>253.88</v>
      </c>
      <c r="J46" s="31">
        <v>3329</v>
      </c>
    </row>
    <row r="47" spans="1:10">
      <c r="A47" s="40">
        <v>44251</v>
      </c>
      <c r="B47" t="s">
        <v>32</v>
      </c>
      <c r="C47" s="30">
        <v>1800</v>
      </c>
      <c r="D47" s="30" t="s">
        <v>112</v>
      </c>
      <c r="E47" s="30" t="s">
        <v>113</v>
      </c>
      <c r="F47" s="31">
        <v>1945</v>
      </c>
      <c r="G47" s="31">
        <v>0</v>
      </c>
      <c r="H47" s="31">
        <v>175.05</v>
      </c>
      <c r="I47" s="31">
        <v>175.05</v>
      </c>
      <c r="J47" s="31">
        <v>2295.1</v>
      </c>
    </row>
    <row r="48" spans="1:10">
      <c r="A48" s="40">
        <v>44240</v>
      </c>
      <c r="B48" t="s">
        <v>32</v>
      </c>
      <c r="C48" s="30" t="s">
        <v>114</v>
      </c>
      <c r="D48" s="30" t="s">
        <v>115</v>
      </c>
      <c r="E48" s="30" t="s">
        <v>116</v>
      </c>
      <c r="F48" s="31">
        <v>850</v>
      </c>
      <c r="G48" s="31">
        <v>0</v>
      </c>
      <c r="H48" s="31">
        <v>76.5</v>
      </c>
      <c r="I48" s="31">
        <v>76.5</v>
      </c>
      <c r="J48" s="31">
        <v>1003</v>
      </c>
    </row>
    <row r="49" spans="1:10">
      <c r="A49" s="40">
        <v>44240</v>
      </c>
      <c r="B49" t="s">
        <v>32</v>
      </c>
      <c r="C49" s="30">
        <v>9502</v>
      </c>
      <c r="D49" s="30" t="s">
        <v>117</v>
      </c>
      <c r="E49" s="30" t="s">
        <v>118</v>
      </c>
      <c r="F49" s="31">
        <v>591.76</v>
      </c>
      <c r="G49" s="31">
        <v>0</v>
      </c>
      <c r="H49" s="31">
        <v>53.25</v>
      </c>
      <c r="I49" s="31">
        <v>53.25</v>
      </c>
      <c r="J49" s="31">
        <v>698</v>
      </c>
    </row>
    <row r="50" spans="1:10">
      <c r="A50" s="40">
        <v>44232</v>
      </c>
      <c r="B50" t="s">
        <v>32</v>
      </c>
      <c r="C50" s="30">
        <v>3035</v>
      </c>
      <c r="D50" s="30" t="s">
        <v>119</v>
      </c>
      <c r="E50" s="30" t="s">
        <v>120</v>
      </c>
      <c r="F50" s="31">
        <v>290</v>
      </c>
      <c r="G50" s="31">
        <v>0</v>
      </c>
      <c r="H50" s="31">
        <v>17.399999999999999</v>
      </c>
      <c r="I50" s="31">
        <v>17.399999999999999</v>
      </c>
      <c r="J50" s="31">
        <v>325</v>
      </c>
    </row>
    <row r="51" spans="1:10">
      <c r="A51" s="40">
        <v>44232</v>
      </c>
      <c r="B51" t="s">
        <v>32</v>
      </c>
      <c r="C51" s="30">
        <v>3041</v>
      </c>
      <c r="D51" s="30" t="s">
        <v>119</v>
      </c>
      <c r="E51" s="30" t="s">
        <v>120</v>
      </c>
      <c r="F51" s="31">
        <v>17080</v>
      </c>
      <c r="G51" s="31">
        <v>3074.4</v>
      </c>
      <c r="H51" s="31">
        <v>0</v>
      </c>
      <c r="I51" s="31">
        <v>0</v>
      </c>
      <c r="J51" s="31">
        <v>20154</v>
      </c>
    </row>
    <row r="52" spans="1:10">
      <c r="A52" s="40">
        <v>44237</v>
      </c>
      <c r="B52" t="s">
        <v>32</v>
      </c>
      <c r="C52" s="30">
        <v>3107</v>
      </c>
      <c r="D52" s="30" t="s">
        <v>119</v>
      </c>
      <c r="E52" s="30" t="s">
        <v>120</v>
      </c>
      <c r="F52" s="31">
        <v>8696</v>
      </c>
      <c r="G52" s="31">
        <v>1565.28</v>
      </c>
      <c r="H52" s="31">
        <v>0</v>
      </c>
      <c r="I52" s="31">
        <v>0</v>
      </c>
      <c r="J52" s="31">
        <v>10261</v>
      </c>
    </row>
    <row r="53" spans="1:10">
      <c r="A53" s="40">
        <v>44230</v>
      </c>
      <c r="B53" t="s">
        <v>32</v>
      </c>
      <c r="C53" s="30" t="s">
        <v>121</v>
      </c>
      <c r="D53" s="30" t="s">
        <v>122</v>
      </c>
      <c r="E53" s="30" t="s">
        <v>123</v>
      </c>
      <c r="F53" s="31">
        <v>590625</v>
      </c>
      <c r="G53" s="31">
        <v>106312.5</v>
      </c>
      <c r="H53" s="31">
        <v>0</v>
      </c>
      <c r="I53" s="31">
        <v>0</v>
      </c>
      <c r="J53" s="31">
        <v>697461</v>
      </c>
    </row>
    <row r="54" spans="1:10">
      <c r="A54" s="40">
        <v>44230</v>
      </c>
      <c r="B54" t="s">
        <v>32</v>
      </c>
      <c r="C54" s="30" t="s">
        <v>124</v>
      </c>
      <c r="D54" s="30" t="s">
        <v>122</v>
      </c>
      <c r="E54" s="30" t="s">
        <v>123</v>
      </c>
      <c r="F54" s="31">
        <v>436665.59999999998</v>
      </c>
      <c r="G54" s="31">
        <v>78599.81</v>
      </c>
      <c r="H54" s="31">
        <v>0</v>
      </c>
      <c r="I54" s="31">
        <v>0</v>
      </c>
      <c r="J54" s="31">
        <v>515651</v>
      </c>
    </row>
    <row r="55" spans="1:10">
      <c r="A55" s="40">
        <v>44246</v>
      </c>
      <c r="B55" t="s">
        <v>32</v>
      </c>
      <c r="C55" s="30" t="s">
        <v>125</v>
      </c>
      <c r="D55" s="30" t="s">
        <v>122</v>
      </c>
      <c r="E55" s="30" t="s">
        <v>123</v>
      </c>
      <c r="F55" s="31">
        <v>195294</v>
      </c>
      <c r="G55" s="31">
        <v>35152.92</v>
      </c>
      <c r="H55" s="31">
        <v>0</v>
      </c>
      <c r="I55" s="31">
        <v>0</v>
      </c>
      <c r="J55" s="31">
        <v>230620</v>
      </c>
    </row>
    <row r="56" spans="1:10">
      <c r="A56" s="40">
        <v>44246</v>
      </c>
      <c r="B56" t="s">
        <v>32</v>
      </c>
      <c r="C56" s="30" t="s">
        <v>126</v>
      </c>
      <c r="D56" s="30" t="s">
        <v>122</v>
      </c>
      <c r="E56" s="30" t="s">
        <v>123</v>
      </c>
      <c r="F56" s="31">
        <v>79387</v>
      </c>
      <c r="G56" s="31">
        <v>14289.66</v>
      </c>
      <c r="H56" s="31">
        <v>0</v>
      </c>
      <c r="I56" s="31">
        <v>0</v>
      </c>
      <c r="J56" s="31">
        <v>93747</v>
      </c>
    </row>
    <row r="57" spans="1:10">
      <c r="A57" s="40">
        <v>44233</v>
      </c>
      <c r="B57" t="s">
        <v>32</v>
      </c>
      <c r="C57" s="30" t="s">
        <v>127</v>
      </c>
      <c r="D57" s="30" t="s">
        <v>128</v>
      </c>
      <c r="E57" s="30" t="s">
        <v>129</v>
      </c>
      <c r="F57" s="31">
        <v>16748</v>
      </c>
      <c r="G57" s="31">
        <v>0</v>
      </c>
      <c r="H57" s="31">
        <v>1005</v>
      </c>
      <c r="I57" s="31">
        <v>1005</v>
      </c>
      <c r="J57" s="31">
        <v>18758</v>
      </c>
    </row>
    <row r="58" spans="1:10">
      <c r="A58" s="40">
        <v>44208</v>
      </c>
      <c r="B58" t="s">
        <v>32</v>
      </c>
      <c r="C58" s="30" t="s">
        <v>130</v>
      </c>
      <c r="D58" s="30" t="s">
        <v>131</v>
      </c>
      <c r="E58" s="30" t="s">
        <v>132</v>
      </c>
      <c r="F58" s="31">
        <v>6345</v>
      </c>
      <c r="G58" s="31">
        <v>1142</v>
      </c>
      <c r="H58" s="31">
        <v>0</v>
      </c>
      <c r="I58" s="31">
        <v>0</v>
      </c>
      <c r="J58" s="31">
        <v>7487</v>
      </c>
    </row>
    <row r="59" spans="1:10">
      <c r="A59" s="40">
        <v>44252</v>
      </c>
      <c r="B59" t="s">
        <v>32</v>
      </c>
      <c r="C59" s="30" t="s">
        <v>133</v>
      </c>
      <c r="D59" s="30" t="s">
        <v>134</v>
      </c>
      <c r="E59" s="30" t="s">
        <v>135</v>
      </c>
      <c r="F59" s="31">
        <v>700</v>
      </c>
      <c r="G59" s="31">
        <v>126</v>
      </c>
      <c r="H59" s="31">
        <v>0</v>
      </c>
      <c r="I59" s="31">
        <v>0</v>
      </c>
      <c r="J59" s="31">
        <v>826</v>
      </c>
    </row>
    <row r="60" spans="1:10">
      <c r="A60" s="40">
        <v>44239</v>
      </c>
      <c r="B60" t="s">
        <v>32</v>
      </c>
      <c r="C60" s="30">
        <v>1411</v>
      </c>
      <c r="D60" s="30" t="s">
        <v>136</v>
      </c>
      <c r="E60" s="30" t="s">
        <v>137</v>
      </c>
      <c r="F60" s="31">
        <v>22000</v>
      </c>
      <c r="G60" s="31">
        <v>0</v>
      </c>
      <c r="H60" s="31">
        <v>1980</v>
      </c>
      <c r="I60" s="31">
        <v>1980</v>
      </c>
      <c r="J60" s="31">
        <v>25960</v>
      </c>
    </row>
    <row r="61" spans="1:10">
      <c r="A61" s="40">
        <v>44249</v>
      </c>
      <c r="B61" t="s">
        <v>32</v>
      </c>
      <c r="C61" s="30">
        <v>3328</v>
      </c>
      <c r="D61" s="30" t="s">
        <v>138</v>
      </c>
      <c r="E61" s="30" t="s">
        <v>139</v>
      </c>
      <c r="F61" s="31">
        <v>2857.16</v>
      </c>
      <c r="G61" s="31">
        <v>0</v>
      </c>
      <c r="H61" s="31">
        <v>171.42</v>
      </c>
      <c r="I61" s="31">
        <v>171.42</v>
      </c>
      <c r="J61" s="31">
        <v>3200</v>
      </c>
    </row>
    <row r="62" spans="1:10">
      <c r="A62" s="40">
        <v>44229</v>
      </c>
      <c r="B62" t="s">
        <v>32</v>
      </c>
      <c r="C62" s="30">
        <v>9865</v>
      </c>
      <c r="D62" s="30" t="s">
        <v>140</v>
      </c>
      <c r="E62" s="30" t="s">
        <v>141</v>
      </c>
      <c r="F62" s="31">
        <v>1600</v>
      </c>
      <c r="G62" s="31">
        <v>0</v>
      </c>
      <c r="H62" s="31">
        <v>144</v>
      </c>
      <c r="I62" s="31">
        <v>144</v>
      </c>
      <c r="J62" s="31">
        <v>1888</v>
      </c>
    </row>
    <row r="63" spans="1:10">
      <c r="A63" s="40">
        <v>44229</v>
      </c>
      <c r="B63" t="s">
        <v>32</v>
      </c>
      <c r="C63" s="30">
        <v>32148</v>
      </c>
      <c r="D63" s="30" t="s">
        <v>140</v>
      </c>
      <c r="E63" s="30" t="s">
        <v>141</v>
      </c>
      <c r="F63" s="31">
        <v>32812.5</v>
      </c>
      <c r="G63" s="31">
        <v>0</v>
      </c>
      <c r="H63" s="31">
        <v>4593.75</v>
      </c>
      <c r="I63" s="31">
        <v>4593.75</v>
      </c>
      <c r="J63" s="31">
        <v>42000</v>
      </c>
    </row>
    <row r="64" spans="1:10">
      <c r="A64" s="40">
        <v>44229</v>
      </c>
      <c r="B64" t="s">
        <v>32</v>
      </c>
      <c r="C64" s="30">
        <v>17325</v>
      </c>
      <c r="D64" s="30" t="s">
        <v>142</v>
      </c>
      <c r="E64" s="30" t="s">
        <v>143</v>
      </c>
      <c r="F64" s="31">
        <v>11935.25</v>
      </c>
      <c r="G64" s="31">
        <v>0</v>
      </c>
      <c r="H64" s="31">
        <v>1074.19</v>
      </c>
      <c r="I64" s="31">
        <v>1074.19</v>
      </c>
      <c r="J64" s="31">
        <v>14084</v>
      </c>
    </row>
    <row r="65" spans="1:10">
      <c r="A65" s="40">
        <v>44231</v>
      </c>
      <c r="B65" t="s">
        <v>32</v>
      </c>
      <c r="C65" s="30">
        <v>17346</v>
      </c>
      <c r="D65" s="30" t="s">
        <v>142</v>
      </c>
      <c r="E65" s="30" t="s">
        <v>143</v>
      </c>
      <c r="F65" s="31">
        <v>530.1</v>
      </c>
      <c r="G65" s="31">
        <v>0</v>
      </c>
      <c r="H65" s="31">
        <v>47.71</v>
      </c>
      <c r="I65" s="31">
        <v>47.71</v>
      </c>
      <c r="J65" s="31">
        <v>626</v>
      </c>
    </row>
    <row r="66" spans="1:10">
      <c r="A66" s="40">
        <v>44254</v>
      </c>
      <c r="B66" t="s">
        <v>32</v>
      </c>
      <c r="C66" s="30">
        <v>17713</v>
      </c>
      <c r="D66" s="30" t="s">
        <v>142</v>
      </c>
      <c r="E66" s="30" t="s">
        <v>143</v>
      </c>
      <c r="F66" s="31">
        <v>5438.85</v>
      </c>
      <c r="G66" s="31">
        <v>0</v>
      </c>
      <c r="H66" s="31">
        <v>489.5</v>
      </c>
      <c r="I66" s="31">
        <v>489.5</v>
      </c>
      <c r="J66" s="31">
        <v>6418</v>
      </c>
    </row>
    <row r="67" spans="1:10">
      <c r="A67" s="40">
        <v>44236</v>
      </c>
      <c r="B67" t="s">
        <v>32</v>
      </c>
      <c r="C67" s="30" t="s">
        <v>144</v>
      </c>
      <c r="D67" s="30" t="s">
        <v>145</v>
      </c>
      <c r="E67" s="30" t="s">
        <v>146</v>
      </c>
      <c r="F67" s="31">
        <v>875</v>
      </c>
      <c r="G67" s="31">
        <v>0</v>
      </c>
      <c r="H67" s="31">
        <v>78.75</v>
      </c>
      <c r="I67" s="31">
        <v>78.75</v>
      </c>
      <c r="J67" s="31">
        <v>1033</v>
      </c>
    </row>
    <row r="68" spans="1:10">
      <c r="A68" s="40">
        <v>44246</v>
      </c>
      <c r="B68" t="s">
        <v>32</v>
      </c>
      <c r="C68" s="30" t="s">
        <v>147</v>
      </c>
      <c r="D68" s="30" t="s">
        <v>145</v>
      </c>
      <c r="E68" s="30" t="s">
        <v>148</v>
      </c>
      <c r="F68" s="31">
        <v>3910</v>
      </c>
      <c r="G68" s="31">
        <v>0</v>
      </c>
      <c r="H68" s="31">
        <v>351.9</v>
      </c>
      <c r="I68" s="31">
        <v>351.9</v>
      </c>
      <c r="J68" s="31">
        <v>4614</v>
      </c>
    </row>
    <row r="69" spans="1:10">
      <c r="A69" s="40">
        <v>44250</v>
      </c>
      <c r="B69" t="s">
        <v>32</v>
      </c>
      <c r="C69" s="30" t="s">
        <v>149</v>
      </c>
      <c r="D69" s="30" t="s">
        <v>150</v>
      </c>
      <c r="E69" s="30" t="s">
        <v>151</v>
      </c>
      <c r="F69" s="31">
        <v>5200</v>
      </c>
      <c r="G69" s="31">
        <v>0</v>
      </c>
      <c r="H69" s="31">
        <v>468</v>
      </c>
      <c r="I69" s="31">
        <v>468</v>
      </c>
      <c r="J69" s="31">
        <v>6136</v>
      </c>
    </row>
    <row r="70" spans="1:10">
      <c r="A70" s="40">
        <v>44253</v>
      </c>
      <c r="B70" t="s">
        <v>32</v>
      </c>
      <c r="C70" s="30" t="s">
        <v>152</v>
      </c>
      <c r="D70" s="30" t="s">
        <v>153</v>
      </c>
      <c r="E70" s="30" t="s">
        <v>154</v>
      </c>
      <c r="F70" s="31">
        <v>7000</v>
      </c>
      <c r="G70" s="31">
        <v>1260</v>
      </c>
      <c r="H70" s="31">
        <v>0</v>
      </c>
      <c r="I70" s="31">
        <v>0</v>
      </c>
      <c r="J70" s="31">
        <v>8260</v>
      </c>
    </row>
    <row r="71" spans="1:10">
      <c r="A71" s="40">
        <v>44230</v>
      </c>
      <c r="B71" t="s">
        <v>32</v>
      </c>
      <c r="C71" s="30" t="s">
        <v>155</v>
      </c>
      <c r="D71" s="30" t="s">
        <v>156</v>
      </c>
      <c r="E71" s="30" t="s">
        <v>157</v>
      </c>
      <c r="F71" s="31">
        <v>4796</v>
      </c>
      <c r="G71" s="31">
        <v>0</v>
      </c>
      <c r="H71" s="31">
        <v>431.64</v>
      </c>
      <c r="I71" s="31">
        <v>431.64</v>
      </c>
      <c r="J71" s="31">
        <v>5659.28</v>
      </c>
    </row>
    <row r="72" spans="1:10">
      <c r="A72" s="40">
        <v>44247</v>
      </c>
      <c r="B72" t="s">
        <v>32</v>
      </c>
      <c r="C72" s="30">
        <v>7022</v>
      </c>
      <c r="D72" s="30" t="s">
        <v>158</v>
      </c>
      <c r="E72" s="30" t="s">
        <v>159</v>
      </c>
      <c r="F72" s="31">
        <v>101.69</v>
      </c>
      <c r="G72" s="31">
        <v>0</v>
      </c>
      <c r="H72" s="31">
        <v>9.15</v>
      </c>
      <c r="I72" s="31">
        <v>9.15</v>
      </c>
      <c r="J72" s="31">
        <v>120</v>
      </c>
    </row>
    <row r="73" spans="1:10">
      <c r="A73" s="40">
        <v>44255</v>
      </c>
      <c r="B73" t="s">
        <v>32</v>
      </c>
      <c r="C73" s="30" t="s">
        <v>160</v>
      </c>
      <c r="D73" s="30" t="s">
        <v>161</v>
      </c>
      <c r="E73" s="30" t="s">
        <v>162</v>
      </c>
      <c r="F73" s="31">
        <v>587</v>
      </c>
      <c r="G73" s="31">
        <v>0</v>
      </c>
      <c r="H73" s="31">
        <v>52.83</v>
      </c>
      <c r="I73" s="31">
        <v>52.83</v>
      </c>
      <c r="J73" s="31">
        <v>692.66</v>
      </c>
    </row>
    <row r="74" spans="1:10">
      <c r="A74" s="40">
        <v>44255</v>
      </c>
      <c r="B74" t="s">
        <v>32</v>
      </c>
      <c r="C74" s="30" t="s">
        <v>163</v>
      </c>
      <c r="D74" s="30" t="s">
        <v>161</v>
      </c>
      <c r="E74" s="30" t="s">
        <v>162</v>
      </c>
      <c r="F74" s="31">
        <v>498.96</v>
      </c>
      <c r="G74" s="31">
        <v>0</v>
      </c>
      <c r="H74" s="31">
        <v>44.91</v>
      </c>
      <c r="I74" s="31">
        <v>44.91</v>
      </c>
      <c r="J74" s="31">
        <v>826.77</v>
      </c>
    </row>
    <row r="75" spans="1:10">
      <c r="A75" s="40">
        <v>44255</v>
      </c>
      <c r="B75" t="s">
        <v>32</v>
      </c>
      <c r="C75" s="30" t="s">
        <v>163</v>
      </c>
      <c r="D75" s="30" t="s">
        <v>161</v>
      </c>
      <c r="E75" s="30" t="s">
        <v>162</v>
      </c>
      <c r="F75" s="31">
        <v>185.93</v>
      </c>
      <c r="G75" s="31">
        <v>0</v>
      </c>
      <c r="H75" s="31">
        <v>26.03</v>
      </c>
      <c r="I75" s="31">
        <v>26.03</v>
      </c>
      <c r="J75" s="31">
        <v>826.77</v>
      </c>
    </row>
    <row r="76" spans="1:10">
      <c r="A76" s="40">
        <v>44248</v>
      </c>
      <c r="B76" t="s">
        <v>32</v>
      </c>
      <c r="C76" s="30">
        <v>1290225959</v>
      </c>
      <c r="D76" s="30" t="s">
        <v>164</v>
      </c>
      <c r="E76" s="30" t="s">
        <v>165</v>
      </c>
      <c r="F76" s="31">
        <v>1110.2</v>
      </c>
      <c r="G76" s="31">
        <v>0</v>
      </c>
      <c r="H76" s="31">
        <v>99.92</v>
      </c>
      <c r="I76" s="31">
        <v>99.92</v>
      </c>
      <c r="J76" s="31">
        <v>1310.04</v>
      </c>
    </row>
    <row r="77" spans="1:10">
      <c r="A77" s="40">
        <v>44231</v>
      </c>
      <c r="B77" t="s">
        <v>32</v>
      </c>
      <c r="C77" s="30" t="s">
        <v>166</v>
      </c>
      <c r="D77" s="30" t="s">
        <v>167</v>
      </c>
      <c r="E77" s="30" t="s">
        <v>168</v>
      </c>
      <c r="F77" s="31">
        <v>5423.76</v>
      </c>
      <c r="G77" s="31">
        <v>0</v>
      </c>
      <c r="H77" s="31">
        <v>488.14</v>
      </c>
      <c r="I77" s="31">
        <v>488.14</v>
      </c>
      <c r="J77" s="31">
        <v>6400</v>
      </c>
    </row>
    <row r="78" spans="1:10">
      <c r="A78" s="40">
        <v>44233</v>
      </c>
      <c r="B78" t="s">
        <v>32</v>
      </c>
      <c r="C78" s="30" t="s">
        <v>169</v>
      </c>
      <c r="D78" s="30" t="s">
        <v>167</v>
      </c>
      <c r="E78" s="30" t="s">
        <v>168</v>
      </c>
      <c r="F78" s="31">
        <v>3389.8</v>
      </c>
      <c r="G78" s="31">
        <v>0</v>
      </c>
      <c r="H78" s="31">
        <v>305.08</v>
      </c>
      <c r="I78" s="31">
        <v>305.08</v>
      </c>
      <c r="J78" s="31">
        <v>4000</v>
      </c>
    </row>
    <row r="79" spans="1:10">
      <c r="A79" s="40">
        <v>44244</v>
      </c>
      <c r="B79" t="s">
        <v>32</v>
      </c>
      <c r="C79" s="30" t="s">
        <v>170</v>
      </c>
      <c r="D79" s="30" t="s">
        <v>167</v>
      </c>
      <c r="E79" s="30" t="s">
        <v>168</v>
      </c>
      <c r="F79" s="31">
        <v>9135.6299999999992</v>
      </c>
      <c r="G79" s="31">
        <v>0</v>
      </c>
      <c r="H79" s="31">
        <v>822.21</v>
      </c>
      <c r="I79" s="31">
        <v>822.21</v>
      </c>
      <c r="J79" s="31">
        <v>10780</v>
      </c>
    </row>
    <row r="80" spans="1:10">
      <c r="A80" s="40">
        <v>44201</v>
      </c>
      <c r="B80" t="s">
        <v>32</v>
      </c>
      <c r="C80" s="30" t="s">
        <v>171</v>
      </c>
      <c r="D80" s="30" t="s">
        <v>172</v>
      </c>
      <c r="E80" s="30" t="s">
        <v>173</v>
      </c>
      <c r="F80" s="31">
        <v>694.92</v>
      </c>
      <c r="G80" s="31">
        <v>0</v>
      </c>
      <c r="H80" s="31">
        <v>62.54</v>
      </c>
      <c r="I80" s="31">
        <v>62.54</v>
      </c>
      <c r="J80" s="31">
        <v>820</v>
      </c>
    </row>
    <row r="81" spans="1:10">
      <c r="A81" s="40">
        <v>44216</v>
      </c>
      <c r="B81" t="s">
        <v>32</v>
      </c>
      <c r="C81" s="30" t="s">
        <v>174</v>
      </c>
      <c r="D81" s="30" t="s">
        <v>172</v>
      </c>
      <c r="E81" s="30" t="s">
        <v>173</v>
      </c>
      <c r="F81" s="31">
        <v>357.16</v>
      </c>
      <c r="G81" s="31">
        <v>0</v>
      </c>
      <c r="H81" s="31">
        <v>21.43</v>
      </c>
      <c r="I81" s="31">
        <v>21.43</v>
      </c>
      <c r="J81" s="31">
        <v>1457</v>
      </c>
    </row>
    <row r="82" spans="1:10">
      <c r="A82" s="40">
        <v>44216</v>
      </c>
      <c r="B82" t="s">
        <v>32</v>
      </c>
      <c r="C82" s="30" t="s">
        <v>174</v>
      </c>
      <c r="D82" s="30" t="s">
        <v>172</v>
      </c>
      <c r="E82" s="30" t="s">
        <v>173</v>
      </c>
      <c r="F82" s="31">
        <v>896.08</v>
      </c>
      <c r="G82" s="31">
        <v>0</v>
      </c>
      <c r="H82" s="31">
        <v>80.650000000000006</v>
      </c>
      <c r="I82" s="31">
        <v>80.650000000000006</v>
      </c>
      <c r="J82" s="31">
        <v>1457</v>
      </c>
    </row>
    <row r="83" spans="1:10">
      <c r="A83" s="40">
        <v>44240</v>
      </c>
      <c r="B83" t="s">
        <v>32</v>
      </c>
      <c r="C83" s="30" t="s">
        <v>175</v>
      </c>
      <c r="D83" s="30" t="s">
        <v>172</v>
      </c>
      <c r="E83" s="30" t="s">
        <v>173</v>
      </c>
      <c r="F83" s="31">
        <v>464</v>
      </c>
      <c r="G83" s="31">
        <v>0</v>
      </c>
      <c r="H83" s="31">
        <v>27.84</v>
      </c>
      <c r="I83" s="31">
        <v>27.84</v>
      </c>
      <c r="J83" s="31">
        <v>11063</v>
      </c>
    </row>
    <row r="84" spans="1:10">
      <c r="A84" s="40">
        <v>44240</v>
      </c>
      <c r="B84" t="s">
        <v>32</v>
      </c>
      <c r="C84" s="30" t="s">
        <v>175</v>
      </c>
      <c r="D84" s="30" t="s">
        <v>172</v>
      </c>
      <c r="E84" s="30" t="s">
        <v>173</v>
      </c>
      <c r="F84" s="31">
        <v>10000</v>
      </c>
      <c r="G84" s="31">
        <v>0</v>
      </c>
      <c r="H84" s="31">
        <v>900</v>
      </c>
      <c r="I84" s="31">
        <v>900</v>
      </c>
      <c r="J84" s="31">
        <v>0</v>
      </c>
    </row>
    <row r="85" spans="1:10">
      <c r="A85" s="40">
        <v>44231</v>
      </c>
      <c r="B85" t="s">
        <v>32</v>
      </c>
      <c r="C85" s="30">
        <v>2904</v>
      </c>
      <c r="D85" s="30" t="s">
        <v>176</v>
      </c>
      <c r="E85" s="30" t="s">
        <v>177</v>
      </c>
      <c r="F85" s="31">
        <v>3153</v>
      </c>
      <c r="G85" s="31">
        <v>0</v>
      </c>
      <c r="H85" s="31">
        <v>284</v>
      </c>
      <c r="I85" s="31">
        <v>284</v>
      </c>
      <c r="J85" s="31">
        <v>3721</v>
      </c>
    </row>
    <row r="86" spans="1:10">
      <c r="A86" s="40">
        <v>44255</v>
      </c>
      <c r="B86" t="s">
        <v>32</v>
      </c>
      <c r="C86" s="30">
        <v>11163</v>
      </c>
      <c r="D86" s="30" t="s">
        <v>178</v>
      </c>
      <c r="E86" s="30" t="s">
        <v>179</v>
      </c>
      <c r="F86" s="31">
        <v>820</v>
      </c>
      <c r="G86" s="31">
        <v>0</v>
      </c>
      <c r="H86" s="31">
        <v>0</v>
      </c>
      <c r="I86" s="31">
        <v>0</v>
      </c>
      <c r="J86" s="31">
        <v>820</v>
      </c>
    </row>
    <row r="87" spans="1:10">
      <c r="A87" s="40">
        <v>44219</v>
      </c>
      <c r="B87" t="s">
        <v>32</v>
      </c>
      <c r="C87" s="30">
        <v>180</v>
      </c>
      <c r="D87" s="30" t="s">
        <v>180</v>
      </c>
      <c r="E87" s="30" t="s">
        <v>181</v>
      </c>
      <c r="F87" s="31">
        <v>1600</v>
      </c>
      <c r="G87" s="31">
        <v>0</v>
      </c>
      <c r="H87" s="31">
        <v>144</v>
      </c>
      <c r="I87" s="31">
        <v>144</v>
      </c>
      <c r="J87" s="31">
        <v>1888</v>
      </c>
    </row>
    <row r="88" spans="1:10">
      <c r="A88" s="40">
        <v>44202</v>
      </c>
      <c r="B88" t="s">
        <v>32</v>
      </c>
      <c r="C88" s="30">
        <v>3104</v>
      </c>
      <c r="D88" s="30" t="s">
        <v>182</v>
      </c>
      <c r="E88" s="30" t="s">
        <v>183</v>
      </c>
      <c r="F88" s="31">
        <v>1192.53</v>
      </c>
      <c r="G88" s="31">
        <v>0</v>
      </c>
      <c r="H88" s="31">
        <v>107.33</v>
      </c>
      <c r="I88" s="31">
        <v>107.33</v>
      </c>
      <c r="J88" s="31">
        <v>1407</v>
      </c>
    </row>
    <row r="89" spans="1:10">
      <c r="A89" s="40">
        <v>44225</v>
      </c>
      <c r="B89" t="s">
        <v>32</v>
      </c>
      <c r="C89" s="30" t="s">
        <v>184</v>
      </c>
      <c r="D89" s="30" t="s">
        <v>185</v>
      </c>
      <c r="E89" s="30" t="s">
        <v>186</v>
      </c>
      <c r="F89" s="31">
        <v>2500</v>
      </c>
      <c r="G89" s="31">
        <v>0</v>
      </c>
      <c r="H89" s="31">
        <v>0</v>
      </c>
      <c r="I89" s="31">
        <v>0</v>
      </c>
      <c r="J89" s="31">
        <v>32000</v>
      </c>
    </row>
    <row r="90" spans="1:10">
      <c r="A90" s="40">
        <v>44230</v>
      </c>
      <c r="B90" t="s">
        <v>32</v>
      </c>
      <c r="C90" s="30">
        <v>111</v>
      </c>
      <c r="D90" s="30" t="s">
        <v>187</v>
      </c>
      <c r="E90" s="30" t="s">
        <v>188</v>
      </c>
      <c r="F90" s="31">
        <v>2052.4</v>
      </c>
      <c r="G90" s="31">
        <v>369.43</v>
      </c>
      <c r="H90" s="31">
        <v>0</v>
      </c>
      <c r="I90" s="31">
        <v>0</v>
      </c>
      <c r="J90" s="31">
        <v>2422</v>
      </c>
    </row>
    <row r="91" spans="1:10">
      <c r="A91" s="40">
        <v>44236</v>
      </c>
      <c r="B91" t="s">
        <v>32</v>
      </c>
      <c r="C91" s="30">
        <v>113</v>
      </c>
      <c r="D91" s="30" t="s">
        <v>187</v>
      </c>
      <c r="E91" s="30" t="s">
        <v>188</v>
      </c>
      <c r="F91" s="31">
        <v>5488</v>
      </c>
      <c r="G91" s="31">
        <v>987.84</v>
      </c>
      <c r="H91" s="31">
        <v>0</v>
      </c>
      <c r="I91" s="31">
        <v>0</v>
      </c>
      <c r="J91" s="31">
        <v>6476</v>
      </c>
    </row>
    <row r="92" spans="1:10">
      <c r="A92" s="40">
        <v>44239</v>
      </c>
      <c r="B92" t="s">
        <v>32</v>
      </c>
      <c r="C92" s="30">
        <v>115</v>
      </c>
      <c r="D92" s="30" t="s">
        <v>187</v>
      </c>
      <c r="E92" s="30" t="s">
        <v>188</v>
      </c>
      <c r="F92" s="31">
        <v>16686</v>
      </c>
      <c r="G92" s="31">
        <v>3003.48</v>
      </c>
      <c r="H92" s="31">
        <v>0</v>
      </c>
      <c r="I92" s="31">
        <v>0</v>
      </c>
      <c r="J92" s="31">
        <v>19689</v>
      </c>
    </row>
    <row r="93" spans="1:10">
      <c r="A93" s="40">
        <v>44252</v>
      </c>
      <c r="B93" t="s">
        <v>32</v>
      </c>
      <c r="C93" s="30">
        <v>123</v>
      </c>
      <c r="D93" s="30" t="s">
        <v>187</v>
      </c>
      <c r="E93" s="30" t="s">
        <v>188</v>
      </c>
      <c r="F93" s="31">
        <v>13252</v>
      </c>
      <c r="G93" s="31">
        <v>2385.36</v>
      </c>
      <c r="H93" s="31">
        <v>0</v>
      </c>
      <c r="I93" s="31">
        <v>0</v>
      </c>
      <c r="J93" s="31">
        <v>15637</v>
      </c>
    </row>
    <row r="94" spans="1:10">
      <c r="A94" s="40">
        <v>44255</v>
      </c>
      <c r="B94" t="s">
        <v>32</v>
      </c>
      <c r="C94" s="30">
        <v>202796</v>
      </c>
      <c r="D94" s="30" t="s">
        <v>189</v>
      </c>
      <c r="E94" s="30" t="s">
        <v>190</v>
      </c>
      <c r="F94" s="31">
        <v>1839.5</v>
      </c>
      <c r="G94" s="31">
        <v>0</v>
      </c>
      <c r="H94" s="31">
        <v>165.56</v>
      </c>
      <c r="I94" s="31">
        <v>165.56</v>
      </c>
      <c r="J94" s="31">
        <v>2172</v>
      </c>
    </row>
    <row r="95" spans="1:10">
      <c r="A95" s="40">
        <v>44252</v>
      </c>
      <c r="B95" t="s">
        <v>32</v>
      </c>
      <c r="C95" s="30">
        <v>5955</v>
      </c>
      <c r="D95" s="30" t="s">
        <v>191</v>
      </c>
      <c r="E95" s="30" t="s">
        <v>192</v>
      </c>
      <c r="F95" s="31">
        <v>11175</v>
      </c>
      <c r="G95" s="31">
        <v>2011.5</v>
      </c>
      <c r="H95" s="31">
        <v>0</v>
      </c>
      <c r="I95" s="31">
        <v>0</v>
      </c>
      <c r="J95" s="31">
        <v>13187</v>
      </c>
    </row>
    <row r="96" spans="1:10">
      <c r="A96" s="40">
        <v>44209</v>
      </c>
      <c r="B96" t="s">
        <v>32</v>
      </c>
      <c r="C96" s="30" t="s">
        <v>193</v>
      </c>
      <c r="D96" s="30" t="s">
        <v>194</v>
      </c>
      <c r="E96" s="30" t="s">
        <v>195</v>
      </c>
      <c r="F96" s="31">
        <v>6159</v>
      </c>
      <c r="G96" s="31">
        <v>0</v>
      </c>
      <c r="H96" s="31">
        <v>153.97999999999999</v>
      </c>
      <c r="I96" s="31">
        <v>153.97999999999999</v>
      </c>
      <c r="J96" s="31">
        <v>6466.95</v>
      </c>
    </row>
    <row r="97" spans="1:10">
      <c r="A97" s="40">
        <v>44228</v>
      </c>
      <c r="B97" t="s">
        <v>32</v>
      </c>
      <c r="C97" s="30">
        <v>841</v>
      </c>
      <c r="D97" s="30" t="s">
        <v>196</v>
      </c>
      <c r="E97" s="30" t="s">
        <v>197</v>
      </c>
      <c r="F97" s="31">
        <v>200000</v>
      </c>
      <c r="G97" s="31">
        <v>36000</v>
      </c>
      <c r="H97" s="31">
        <v>0</v>
      </c>
      <c r="I97" s="31">
        <v>0</v>
      </c>
      <c r="J97" s="31">
        <v>0</v>
      </c>
    </row>
    <row r="98" spans="1:10">
      <c r="A98" s="40">
        <v>44228</v>
      </c>
      <c r="B98" t="s">
        <v>32</v>
      </c>
      <c r="C98" s="30">
        <v>842</v>
      </c>
      <c r="D98" s="30" t="s">
        <v>196</v>
      </c>
      <c r="E98" s="30" t="s">
        <v>197</v>
      </c>
      <c r="F98" s="31">
        <v>25784</v>
      </c>
      <c r="G98" s="31">
        <v>4641.12</v>
      </c>
      <c r="H98" s="31">
        <v>0</v>
      </c>
      <c r="I98" s="31">
        <v>0</v>
      </c>
      <c r="J98" s="31">
        <v>30425</v>
      </c>
    </row>
    <row r="99" spans="1:10">
      <c r="A99" s="40">
        <v>44240</v>
      </c>
      <c r="B99" t="s">
        <v>32</v>
      </c>
      <c r="C99" s="30">
        <v>902</v>
      </c>
      <c r="D99" s="30" t="s">
        <v>196</v>
      </c>
      <c r="E99" s="30" t="s">
        <v>197</v>
      </c>
      <c r="F99" s="31">
        <v>2100</v>
      </c>
      <c r="G99" s="31">
        <v>378</v>
      </c>
      <c r="H99" s="31">
        <v>0</v>
      </c>
      <c r="I99" s="31">
        <v>0</v>
      </c>
      <c r="J99" s="31">
        <v>2480</v>
      </c>
    </row>
    <row r="100" spans="1:10">
      <c r="A100" s="40">
        <v>44246</v>
      </c>
      <c r="B100" t="s">
        <v>32</v>
      </c>
      <c r="C100" s="30">
        <v>930</v>
      </c>
      <c r="D100" s="30" t="s">
        <v>196</v>
      </c>
      <c r="E100" s="30" t="s">
        <v>197</v>
      </c>
      <c r="F100" s="31">
        <v>50548</v>
      </c>
      <c r="G100" s="31">
        <v>9098.64</v>
      </c>
      <c r="H100" s="31">
        <v>0</v>
      </c>
      <c r="I100" s="31">
        <v>0</v>
      </c>
      <c r="J100" s="31">
        <v>59692</v>
      </c>
    </row>
    <row r="101" spans="1:10">
      <c r="A101" s="40">
        <v>44200</v>
      </c>
      <c r="B101" t="s">
        <v>32</v>
      </c>
      <c r="C101" s="30">
        <v>372</v>
      </c>
      <c r="D101" s="30" t="s">
        <v>198</v>
      </c>
      <c r="E101" s="30" t="s">
        <v>199</v>
      </c>
      <c r="F101" s="31">
        <v>750</v>
      </c>
      <c r="G101" s="31">
        <v>0</v>
      </c>
      <c r="H101" s="31">
        <v>67.5</v>
      </c>
      <c r="I101" s="31">
        <v>67.5</v>
      </c>
      <c r="J101" s="31">
        <v>885</v>
      </c>
    </row>
    <row r="102" spans="1:10">
      <c r="A102" s="40">
        <v>44216</v>
      </c>
      <c r="B102" t="s">
        <v>32</v>
      </c>
      <c r="C102" s="30">
        <v>393</v>
      </c>
      <c r="D102" s="30" t="s">
        <v>198</v>
      </c>
      <c r="E102" s="30" t="s">
        <v>199</v>
      </c>
      <c r="F102" s="31">
        <v>1460</v>
      </c>
      <c r="G102" s="31">
        <v>0</v>
      </c>
      <c r="H102" s="31">
        <v>131.4</v>
      </c>
      <c r="I102" s="31">
        <v>131.4</v>
      </c>
      <c r="J102" s="31">
        <v>1723</v>
      </c>
    </row>
    <row r="103" spans="1:10">
      <c r="A103" s="40">
        <v>44229</v>
      </c>
      <c r="B103" t="s">
        <v>32</v>
      </c>
      <c r="C103" s="30" t="s">
        <v>200</v>
      </c>
      <c r="D103" s="30" t="s">
        <v>201</v>
      </c>
      <c r="E103" s="30" t="s">
        <v>202</v>
      </c>
      <c r="F103" s="31">
        <v>2700</v>
      </c>
      <c r="G103" s="31">
        <v>486</v>
      </c>
      <c r="H103" s="31">
        <v>0</v>
      </c>
      <c r="I103" s="31">
        <v>0</v>
      </c>
      <c r="J103" s="31">
        <v>3186</v>
      </c>
    </row>
    <row r="104" spans="1:10">
      <c r="A104" s="40">
        <v>44246</v>
      </c>
      <c r="B104" t="s">
        <v>32</v>
      </c>
      <c r="C104" s="30" t="s">
        <v>203</v>
      </c>
      <c r="D104" s="30" t="s">
        <v>201</v>
      </c>
      <c r="E104" s="30" t="s">
        <v>202</v>
      </c>
      <c r="F104" s="31">
        <v>1503</v>
      </c>
      <c r="G104" s="31">
        <v>270.54000000000002</v>
      </c>
      <c r="H104" s="31">
        <v>0</v>
      </c>
      <c r="I104" s="31">
        <v>0</v>
      </c>
      <c r="J104" s="31">
        <v>1773.54</v>
      </c>
    </row>
    <row r="105" spans="1:10">
      <c r="A105" s="40">
        <v>44229</v>
      </c>
      <c r="B105" t="s">
        <v>32</v>
      </c>
      <c r="C105" s="30" t="s">
        <v>204</v>
      </c>
      <c r="D105" s="30" t="s">
        <v>205</v>
      </c>
      <c r="E105" s="30" t="s">
        <v>206</v>
      </c>
      <c r="F105" s="31">
        <v>3060</v>
      </c>
      <c r="G105" s="31">
        <v>550.79999999999995</v>
      </c>
      <c r="H105" s="31">
        <v>0</v>
      </c>
      <c r="I105" s="31">
        <v>0</v>
      </c>
      <c r="J105" s="31">
        <v>3610.8</v>
      </c>
    </row>
    <row r="106" spans="1:10">
      <c r="A106" s="40">
        <v>44244</v>
      </c>
      <c r="B106" t="s">
        <v>32</v>
      </c>
      <c r="C106" s="30" t="s">
        <v>207</v>
      </c>
      <c r="D106" s="30" t="s">
        <v>205</v>
      </c>
      <c r="E106" s="30" t="s">
        <v>206</v>
      </c>
      <c r="F106" s="31">
        <v>4590</v>
      </c>
      <c r="G106" s="31">
        <v>826.2</v>
      </c>
      <c r="H106" s="31">
        <v>0</v>
      </c>
      <c r="I106" s="31">
        <v>0</v>
      </c>
      <c r="J106" s="31">
        <v>5416.2</v>
      </c>
    </row>
    <row r="107" spans="1:10">
      <c r="A107" s="40">
        <v>44237</v>
      </c>
      <c r="B107" t="s">
        <v>32</v>
      </c>
      <c r="C107" s="30" t="s">
        <v>208</v>
      </c>
      <c r="D107" s="30" t="s">
        <v>209</v>
      </c>
      <c r="E107" s="30" t="s">
        <v>210</v>
      </c>
      <c r="F107" s="31">
        <v>313240</v>
      </c>
      <c r="G107" s="31">
        <v>56383.199999999997</v>
      </c>
      <c r="H107" s="31">
        <v>0</v>
      </c>
      <c r="I107" s="31">
        <v>0</v>
      </c>
      <c r="J107" s="31">
        <v>0</v>
      </c>
    </row>
    <row r="108" spans="1:10">
      <c r="A108" s="40">
        <v>44249</v>
      </c>
      <c r="B108" t="s">
        <v>32</v>
      </c>
      <c r="C108" s="30" t="s">
        <v>211</v>
      </c>
      <c r="D108" s="30" t="s">
        <v>212</v>
      </c>
      <c r="E108" s="30" t="s">
        <v>213</v>
      </c>
      <c r="F108" s="31">
        <v>2387.6</v>
      </c>
      <c r="G108" s="31">
        <v>0</v>
      </c>
      <c r="H108" s="31">
        <v>214.88</v>
      </c>
      <c r="I108" s="31">
        <v>214.88</v>
      </c>
      <c r="J108" s="31">
        <v>2817</v>
      </c>
    </row>
    <row r="109" spans="1:10">
      <c r="A109" s="40">
        <v>44253</v>
      </c>
      <c r="B109" t="s">
        <v>32</v>
      </c>
      <c r="C109" s="30" t="s">
        <v>214</v>
      </c>
      <c r="D109" s="30" t="s">
        <v>215</v>
      </c>
      <c r="E109" s="30" t="s">
        <v>216</v>
      </c>
      <c r="F109" s="31">
        <v>5540</v>
      </c>
      <c r="G109" s="31">
        <v>0</v>
      </c>
      <c r="H109" s="31">
        <v>498.6</v>
      </c>
      <c r="I109" s="31">
        <v>498.6</v>
      </c>
      <c r="J109" s="31">
        <v>6537</v>
      </c>
    </row>
    <row r="110" spans="1:10">
      <c r="A110" s="40">
        <v>44233</v>
      </c>
      <c r="B110" t="s">
        <v>32</v>
      </c>
      <c r="C110" s="30" t="s">
        <v>217</v>
      </c>
      <c r="D110" s="30" t="s">
        <v>218</v>
      </c>
      <c r="E110" s="30" t="s">
        <v>219</v>
      </c>
      <c r="F110" s="31">
        <v>546670</v>
      </c>
      <c r="G110" s="31">
        <v>98400.6</v>
      </c>
      <c r="H110" s="31">
        <v>0</v>
      </c>
      <c r="I110" s="31">
        <v>0</v>
      </c>
      <c r="J110" s="31">
        <v>645555</v>
      </c>
    </row>
    <row r="111" spans="1:10">
      <c r="A111" s="40">
        <v>44233</v>
      </c>
      <c r="B111" t="s">
        <v>32</v>
      </c>
      <c r="C111" s="30" t="s">
        <v>220</v>
      </c>
      <c r="D111" s="30" t="s">
        <v>218</v>
      </c>
      <c r="E111" s="30" t="s">
        <v>219</v>
      </c>
      <c r="F111" s="31">
        <v>124777.5</v>
      </c>
      <c r="G111" s="31">
        <v>22459.95</v>
      </c>
      <c r="H111" s="31">
        <v>0</v>
      </c>
      <c r="I111" s="31">
        <v>0</v>
      </c>
      <c r="J111" s="31">
        <v>147347</v>
      </c>
    </row>
    <row r="112" spans="1:10">
      <c r="A112" s="40">
        <v>44239</v>
      </c>
      <c r="B112" t="s">
        <v>32</v>
      </c>
      <c r="C112" s="30" t="s">
        <v>221</v>
      </c>
      <c r="D112" s="30" t="s">
        <v>222</v>
      </c>
      <c r="E112" s="30" t="s">
        <v>223</v>
      </c>
      <c r="F112" s="31">
        <v>13740</v>
      </c>
      <c r="G112" s="31">
        <v>2473.1999999999998</v>
      </c>
      <c r="H112" s="31">
        <v>0</v>
      </c>
      <c r="I112" s="31">
        <v>0</v>
      </c>
      <c r="J112" s="31">
        <v>16213</v>
      </c>
    </row>
    <row r="113" spans="1:10">
      <c r="A113" s="40">
        <v>44240</v>
      </c>
      <c r="B113" t="s">
        <v>32</v>
      </c>
      <c r="C113" s="30" t="s">
        <v>224</v>
      </c>
      <c r="D113" s="30" t="s">
        <v>225</v>
      </c>
      <c r="E113" s="30" t="s">
        <v>226</v>
      </c>
      <c r="F113" s="31">
        <v>1254.24</v>
      </c>
      <c r="G113" s="31">
        <v>0</v>
      </c>
      <c r="H113" s="31">
        <v>112.88</v>
      </c>
      <c r="I113" s="31">
        <v>112.88</v>
      </c>
      <c r="J113" s="31">
        <v>1480</v>
      </c>
    </row>
    <row r="114" spans="1:10">
      <c r="A114" s="40">
        <v>44249</v>
      </c>
      <c r="B114" t="s">
        <v>32</v>
      </c>
      <c r="C114" s="30" t="s">
        <v>227</v>
      </c>
      <c r="D114" s="30" t="s">
        <v>225</v>
      </c>
      <c r="E114" s="30" t="s">
        <v>226</v>
      </c>
      <c r="F114" s="31">
        <v>1245.76</v>
      </c>
      <c r="G114" s="31">
        <v>0</v>
      </c>
      <c r="H114" s="31">
        <v>112.12</v>
      </c>
      <c r="I114" s="31">
        <v>112.12</v>
      </c>
      <c r="J114" s="31">
        <v>1470</v>
      </c>
    </row>
    <row r="115" spans="1:10">
      <c r="A115" s="40">
        <v>44243</v>
      </c>
      <c r="B115" t="s">
        <v>32</v>
      </c>
      <c r="C115" s="30" t="s">
        <v>228</v>
      </c>
      <c r="D115" s="30" t="s">
        <v>229</v>
      </c>
      <c r="E115" s="30" t="s">
        <v>230</v>
      </c>
      <c r="F115" s="31">
        <v>2185.96</v>
      </c>
      <c r="G115" s="31">
        <v>262.32</v>
      </c>
      <c r="H115" s="31">
        <v>0</v>
      </c>
      <c r="I115" s="31">
        <v>0</v>
      </c>
      <c r="J115" s="31">
        <v>2448.2800000000002</v>
      </c>
    </row>
    <row r="116" spans="1:10">
      <c r="A116" s="40">
        <v>44232</v>
      </c>
      <c r="B116" t="s">
        <v>32</v>
      </c>
      <c r="C116" s="30">
        <v>618</v>
      </c>
      <c r="D116" s="30" t="s">
        <v>231</v>
      </c>
      <c r="E116" s="30" t="s">
        <v>232</v>
      </c>
      <c r="F116" s="31">
        <v>1400</v>
      </c>
      <c r="G116" s="31">
        <v>0</v>
      </c>
      <c r="H116" s="31">
        <v>35</v>
      </c>
      <c r="I116" s="31">
        <v>35</v>
      </c>
      <c r="J116" s="31">
        <v>1470</v>
      </c>
    </row>
    <row r="117" spans="1:10">
      <c r="A117" s="40">
        <v>44235</v>
      </c>
      <c r="B117" t="s">
        <v>32</v>
      </c>
      <c r="C117" s="30">
        <v>622</v>
      </c>
      <c r="D117" s="30" t="s">
        <v>231</v>
      </c>
      <c r="E117" s="30" t="s">
        <v>232</v>
      </c>
      <c r="F117" s="31">
        <v>5150</v>
      </c>
      <c r="G117" s="31">
        <v>0</v>
      </c>
      <c r="H117" s="31">
        <v>128.75</v>
      </c>
      <c r="I117" s="31">
        <v>128.75</v>
      </c>
      <c r="J117" s="31">
        <v>5408</v>
      </c>
    </row>
    <row r="118" spans="1:10">
      <c r="A118" s="40">
        <v>44249</v>
      </c>
      <c r="B118" t="s">
        <v>32</v>
      </c>
      <c r="C118" s="30">
        <v>114425</v>
      </c>
      <c r="D118" s="30" t="s">
        <v>233</v>
      </c>
      <c r="E118" s="30" t="s">
        <v>234</v>
      </c>
      <c r="F118" s="31">
        <v>34919.25</v>
      </c>
      <c r="G118" s="31">
        <v>6285.47</v>
      </c>
      <c r="H118" s="31">
        <v>0</v>
      </c>
      <c r="I118" s="31">
        <v>0</v>
      </c>
      <c r="J118" s="31">
        <v>41205</v>
      </c>
    </row>
    <row r="119" spans="1:10">
      <c r="A119" s="40">
        <v>44230</v>
      </c>
      <c r="B119" t="s">
        <v>32</v>
      </c>
      <c r="C119" s="30">
        <v>5913</v>
      </c>
      <c r="D119" s="30" t="s">
        <v>235</v>
      </c>
      <c r="E119" s="30" t="s">
        <v>236</v>
      </c>
      <c r="F119" s="31">
        <v>571.4</v>
      </c>
      <c r="G119" s="31">
        <v>0</v>
      </c>
      <c r="H119" s="31">
        <v>34.28</v>
      </c>
      <c r="I119" s="31">
        <v>34.28</v>
      </c>
      <c r="J119" s="31">
        <v>880</v>
      </c>
    </row>
    <row r="120" spans="1:10">
      <c r="A120" s="40">
        <v>44230</v>
      </c>
      <c r="B120" t="s">
        <v>32</v>
      </c>
      <c r="C120" s="30">
        <v>5913</v>
      </c>
      <c r="D120" s="30" t="s">
        <v>235</v>
      </c>
      <c r="E120" s="30" t="s">
        <v>236</v>
      </c>
      <c r="F120" s="31">
        <v>203.4</v>
      </c>
      <c r="G120" s="31">
        <v>0</v>
      </c>
      <c r="H120" s="31">
        <v>18.309999999999999</v>
      </c>
      <c r="I120" s="31">
        <v>18.309999999999999</v>
      </c>
      <c r="J120" s="31">
        <v>880</v>
      </c>
    </row>
    <row r="121" spans="1:10">
      <c r="A121" s="40">
        <v>44230</v>
      </c>
      <c r="B121" t="s">
        <v>32</v>
      </c>
      <c r="C121" s="30">
        <v>97</v>
      </c>
      <c r="D121" s="30" t="s">
        <v>237</v>
      </c>
      <c r="E121" s="30" t="s">
        <v>238</v>
      </c>
      <c r="F121" s="31">
        <v>533</v>
      </c>
      <c r="G121" s="31">
        <v>0</v>
      </c>
      <c r="H121" s="31">
        <v>31.98</v>
      </c>
      <c r="I121" s="31">
        <v>31.98</v>
      </c>
      <c r="J121" s="31">
        <v>597</v>
      </c>
    </row>
    <row r="122" spans="1:10">
      <c r="A122" s="40">
        <v>44230</v>
      </c>
      <c r="B122" t="s">
        <v>32</v>
      </c>
      <c r="C122" s="30">
        <v>98</v>
      </c>
      <c r="D122" s="30" t="s">
        <v>237</v>
      </c>
      <c r="E122" s="30" t="s">
        <v>238</v>
      </c>
      <c r="F122" s="31">
        <v>6990</v>
      </c>
      <c r="G122" s="31">
        <v>0</v>
      </c>
      <c r="H122" s="31">
        <v>629.1</v>
      </c>
      <c r="I122" s="31">
        <v>629.1</v>
      </c>
      <c r="J122" s="31">
        <v>8248</v>
      </c>
    </row>
    <row r="123" spans="1:10">
      <c r="A123" s="40">
        <v>44229</v>
      </c>
      <c r="B123" t="s">
        <v>32</v>
      </c>
      <c r="C123" s="30">
        <v>2302</v>
      </c>
      <c r="D123" s="30" t="s">
        <v>239</v>
      </c>
      <c r="E123" s="30" t="s">
        <v>240</v>
      </c>
      <c r="F123" s="31">
        <v>9460</v>
      </c>
      <c r="G123" s="31">
        <v>0</v>
      </c>
      <c r="H123" s="31">
        <v>851.4</v>
      </c>
      <c r="I123" s="31">
        <v>851.4</v>
      </c>
      <c r="J123" s="31">
        <v>11162</v>
      </c>
    </row>
    <row r="124" spans="1:10">
      <c r="A124" s="40">
        <v>44230</v>
      </c>
      <c r="B124" t="s">
        <v>32</v>
      </c>
      <c r="C124" s="30">
        <v>2312</v>
      </c>
      <c r="D124" s="30" t="s">
        <v>239</v>
      </c>
      <c r="E124" s="30" t="s">
        <v>240</v>
      </c>
      <c r="F124" s="31">
        <v>2660</v>
      </c>
      <c r="G124" s="31">
        <v>0</v>
      </c>
      <c r="H124" s="31">
        <v>239.4</v>
      </c>
      <c r="I124" s="31">
        <v>239.4</v>
      </c>
      <c r="J124" s="31">
        <v>3139</v>
      </c>
    </row>
    <row r="125" spans="1:10">
      <c r="A125" s="40">
        <v>44247</v>
      </c>
      <c r="B125" t="s">
        <v>32</v>
      </c>
      <c r="C125" s="30">
        <v>2486</v>
      </c>
      <c r="D125" s="30" t="s">
        <v>239</v>
      </c>
      <c r="E125" s="30" t="s">
        <v>240</v>
      </c>
      <c r="F125" s="31">
        <v>5380</v>
      </c>
      <c r="G125" s="31">
        <v>0</v>
      </c>
      <c r="H125" s="31">
        <v>484.2</v>
      </c>
      <c r="I125" s="31">
        <v>484.2</v>
      </c>
      <c r="J125" s="31">
        <v>6348</v>
      </c>
    </row>
    <row r="126" spans="1:10">
      <c r="A126" s="40">
        <v>44251</v>
      </c>
      <c r="B126" t="s">
        <v>32</v>
      </c>
      <c r="C126" s="30">
        <v>2523</v>
      </c>
      <c r="D126" s="30" t="s">
        <v>239</v>
      </c>
      <c r="E126" s="30" t="s">
        <v>240</v>
      </c>
      <c r="F126" s="31">
        <v>1900</v>
      </c>
      <c r="G126" s="31">
        <v>0</v>
      </c>
      <c r="H126" s="31">
        <v>171</v>
      </c>
      <c r="I126" s="31">
        <v>171</v>
      </c>
      <c r="J126" s="31">
        <v>2242</v>
      </c>
    </row>
    <row r="127" spans="1:10">
      <c r="A127" s="40">
        <v>44238</v>
      </c>
      <c r="B127" t="s">
        <v>32</v>
      </c>
      <c r="C127" s="30">
        <v>413</v>
      </c>
      <c r="D127" s="30" t="s">
        <v>198</v>
      </c>
      <c r="E127" s="30" t="s">
        <v>199</v>
      </c>
      <c r="F127" s="31">
        <v>800</v>
      </c>
      <c r="G127" s="31">
        <v>0</v>
      </c>
      <c r="H127" s="31">
        <v>72</v>
      </c>
      <c r="I127" s="31">
        <v>72</v>
      </c>
      <c r="J127" s="31">
        <v>944</v>
      </c>
    </row>
    <row r="128" spans="1:10">
      <c r="A128" s="40">
        <v>44248</v>
      </c>
      <c r="B128" t="s">
        <v>32</v>
      </c>
      <c r="C128" s="30">
        <v>425</v>
      </c>
      <c r="D128" s="30" t="s">
        <v>198</v>
      </c>
      <c r="E128" s="30" t="s">
        <v>199</v>
      </c>
      <c r="F128" s="31">
        <v>2050</v>
      </c>
      <c r="G128" s="31">
        <v>0</v>
      </c>
      <c r="H128" s="31">
        <v>184.5</v>
      </c>
      <c r="I128" s="31">
        <v>184.5</v>
      </c>
      <c r="J128" s="31">
        <v>2419</v>
      </c>
    </row>
    <row r="129" spans="1:10">
      <c r="A129" s="40">
        <v>44243</v>
      </c>
      <c r="B129" t="s">
        <v>32</v>
      </c>
      <c r="C129" s="30" t="s">
        <v>241</v>
      </c>
      <c r="D129" s="30" t="s">
        <v>242</v>
      </c>
      <c r="E129" s="30" t="s">
        <v>243</v>
      </c>
      <c r="F129" s="31">
        <v>4750</v>
      </c>
      <c r="G129" s="31">
        <v>0</v>
      </c>
      <c r="H129" s="31">
        <v>427.5</v>
      </c>
      <c r="I129" s="31">
        <v>427.5</v>
      </c>
      <c r="J129" s="31">
        <v>5605</v>
      </c>
    </row>
    <row r="130" spans="1:10">
      <c r="A130" s="40">
        <v>44250</v>
      </c>
      <c r="B130" t="s">
        <v>32</v>
      </c>
      <c r="C130" s="30" t="s">
        <v>244</v>
      </c>
      <c r="D130" s="30" t="s">
        <v>242</v>
      </c>
      <c r="E130" s="30" t="s">
        <v>243</v>
      </c>
      <c r="F130" s="31">
        <v>450</v>
      </c>
      <c r="G130" s="31">
        <v>0</v>
      </c>
      <c r="H130" s="31">
        <v>40.5</v>
      </c>
      <c r="I130" s="31">
        <v>40.5</v>
      </c>
      <c r="J130" s="31">
        <v>531</v>
      </c>
    </row>
    <row r="131" spans="1:10">
      <c r="A131" s="40">
        <v>44119</v>
      </c>
      <c r="B131" t="s">
        <v>32</v>
      </c>
      <c r="C131" s="30">
        <v>397</v>
      </c>
      <c r="D131" s="30" t="s">
        <v>245</v>
      </c>
      <c r="E131" s="30" t="s">
        <v>246</v>
      </c>
      <c r="F131" s="31">
        <v>1210</v>
      </c>
      <c r="G131" s="31">
        <v>0</v>
      </c>
      <c r="H131" s="31">
        <v>108.9</v>
      </c>
      <c r="I131" s="31">
        <v>108.9</v>
      </c>
      <c r="J131" s="31">
        <v>1428</v>
      </c>
    </row>
    <row r="132" spans="1:10">
      <c r="A132" s="40">
        <v>44119</v>
      </c>
      <c r="B132" t="s">
        <v>32</v>
      </c>
      <c r="C132" s="30">
        <v>399</v>
      </c>
      <c r="D132" s="30" t="s">
        <v>245</v>
      </c>
      <c r="E132" s="30" t="s">
        <v>246</v>
      </c>
      <c r="F132" s="31">
        <v>5080</v>
      </c>
      <c r="G132" s="31">
        <v>0</v>
      </c>
      <c r="H132" s="31">
        <v>457.2</v>
      </c>
      <c r="I132" s="31">
        <v>457.2</v>
      </c>
      <c r="J132" s="31">
        <v>5994</v>
      </c>
    </row>
    <row r="133" spans="1:10">
      <c r="A133" s="40">
        <v>44119</v>
      </c>
      <c r="B133" t="s">
        <v>32</v>
      </c>
      <c r="C133" s="30">
        <v>400</v>
      </c>
      <c r="D133" s="30" t="s">
        <v>245</v>
      </c>
      <c r="E133" s="30" t="s">
        <v>246</v>
      </c>
      <c r="F133" s="31">
        <v>2160</v>
      </c>
      <c r="G133" s="31">
        <v>0</v>
      </c>
      <c r="H133" s="31">
        <v>194.4</v>
      </c>
      <c r="I133" s="31">
        <v>194.4</v>
      </c>
      <c r="J133" s="31">
        <v>2549</v>
      </c>
    </row>
    <row r="134" spans="1:10">
      <c r="A134" s="40">
        <v>44120</v>
      </c>
      <c r="B134" t="s">
        <v>32</v>
      </c>
      <c r="C134" s="30">
        <v>403</v>
      </c>
      <c r="D134" s="30" t="s">
        <v>245</v>
      </c>
      <c r="E134" s="30" t="s">
        <v>246</v>
      </c>
      <c r="F134" s="31">
        <v>625</v>
      </c>
      <c r="G134" s="31">
        <v>0</v>
      </c>
      <c r="H134" s="31">
        <v>56.25</v>
      </c>
      <c r="I134" s="31">
        <v>56.25</v>
      </c>
      <c r="J134" s="31">
        <v>738</v>
      </c>
    </row>
    <row r="135" spans="1:10">
      <c r="A135" s="40">
        <v>44120</v>
      </c>
      <c r="B135" t="s">
        <v>32</v>
      </c>
      <c r="C135" s="30">
        <v>404</v>
      </c>
      <c r="D135" s="30" t="s">
        <v>245</v>
      </c>
      <c r="E135" s="30" t="s">
        <v>246</v>
      </c>
      <c r="F135" s="31">
        <v>300</v>
      </c>
      <c r="G135" s="31">
        <v>0</v>
      </c>
      <c r="H135" s="31">
        <v>27</v>
      </c>
      <c r="I135" s="31">
        <v>27</v>
      </c>
      <c r="J135" s="31">
        <v>354</v>
      </c>
    </row>
    <row r="136" spans="1:10">
      <c r="A136" s="40">
        <v>44228</v>
      </c>
      <c r="B136" t="s">
        <v>32</v>
      </c>
      <c r="C136" s="30" t="s">
        <v>247</v>
      </c>
      <c r="D136" s="30" t="s">
        <v>248</v>
      </c>
      <c r="E136" s="30" t="s">
        <v>249</v>
      </c>
      <c r="F136" s="31">
        <v>21819.5</v>
      </c>
      <c r="G136" s="31">
        <v>0</v>
      </c>
      <c r="H136" s="31">
        <v>1963.76</v>
      </c>
      <c r="I136" s="31">
        <v>1963.76</v>
      </c>
      <c r="J136" s="31">
        <v>25747</v>
      </c>
    </row>
    <row r="137" spans="1:10">
      <c r="A137" s="40">
        <v>44254</v>
      </c>
      <c r="B137" t="s">
        <v>32</v>
      </c>
      <c r="C137" s="30" t="s">
        <v>250</v>
      </c>
      <c r="D137" s="30" t="s">
        <v>248</v>
      </c>
      <c r="E137" s="30" t="s">
        <v>249</v>
      </c>
      <c r="F137" s="31">
        <v>8388</v>
      </c>
      <c r="G137" s="31">
        <v>0</v>
      </c>
      <c r="H137" s="31">
        <v>754.92</v>
      </c>
      <c r="I137" s="31">
        <v>754.92</v>
      </c>
      <c r="J137" s="31">
        <v>9898</v>
      </c>
    </row>
    <row r="138" spans="1:10">
      <c r="A138" s="40">
        <v>44245</v>
      </c>
      <c r="B138" t="s">
        <v>32</v>
      </c>
      <c r="C138" s="30" t="s">
        <v>251</v>
      </c>
      <c r="D138" s="30" t="s">
        <v>252</v>
      </c>
      <c r="E138" s="30" t="s">
        <v>253</v>
      </c>
      <c r="F138" s="31">
        <v>44</v>
      </c>
      <c r="G138" s="31">
        <v>0</v>
      </c>
      <c r="H138" s="31">
        <v>2.64</v>
      </c>
      <c r="I138" s="31">
        <v>2.64</v>
      </c>
      <c r="J138" s="31">
        <v>50</v>
      </c>
    </row>
    <row r="139" spans="1:10">
      <c r="A139" s="40">
        <v>44249</v>
      </c>
      <c r="B139" t="s">
        <v>32</v>
      </c>
      <c r="C139" s="30">
        <v>526</v>
      </c>
      <c r="D139" s="30" t="s">
        <v>254</v>
      </c>
      <c r="E139" s="30" t="s">
        <v>255</v>
      </c>
      <c r="F139" s="31">
        <v>4290</v>
      </c>
      <c r="G139" s="31">
        <v>0</v>
      </c>
      <c r="H139" s="31">
        <v>257.39999999999998</v>
      </c>
      <c r="I139" s="31">
        <v>257.39999999999998</v>
      </c>
      <c r="J139" s="31">
        <v>4804</v>
      </c>
    </row>
    <row r="140" spans="1:10">
      <c r="A140" s="40">
        <v>44230</v>
      </c>
      <c r="B140" t="s">
        <v>32</v>
      </c>
      <c r="C140" s="30" t="s">
        <v>256</v>
      </c>
      <c r="D140" s="30" t="s">
        <v>257</v>
      </c>
      <c r="E140" s="30" t="s">
        <v>258</v>
      </c>
      <c r="F140" s="31">
        <v>13931</v>
      </c>
      <c r="G140" s="31">
        <v>0</v>
      </c>
      <c r="H140" s="31">
        <v>1254</v>
      </c>
      <c r="I140" s="31">
        <v>1254</v>
      </c>
      <c r="J140" s="31">
        <v>16439</v>
      </c>
    </row>
    <row r="141" spans="1:10">
      <c r="A141" s="40">
        <v>44189</v>
      </c>
      <c r="B141" t="s">
        <v>32</v>
      </c>
      <c r="C141" s="30">
        <v>277</v>
      </c>
      <c r="D141" s="30" t="s">
        <v>49</v>
      </c>
      <c r="E141" s="30" t="s">
        <v>50</v>
      </c>
      <c r="F141" s="31">
        <v>2700</v>
      </c>
      <c r="G141" s="31">
        <v>0</v>
      </c>
      <c r="H141" s="31">
        <v>243</v>
      </c>
      <c r="I141" s="31">
        <v>243</v>
      </c>
      <c r="J141" s="31">
        <v>3186</v>
      </c>
    </row>
    <row r="142" spans="1:10">
      <c r="A142" s="40">
        <v>44251</v>
      </c>
      <c r="B142" t="s">
        <v>32</v>
      </c>
      <c r="C142" s="30">
        <v>208</v>
      </c>
      <c r="D142" s="30" t="s">
        <v>259</v>
      </c>
      <c r="E142" s="30" t="s">
        <v>260</v>
      </c>
      <c r="F142" s="31">
        <v>9480</v>
      </c>
      <c r="G142" s="31">
        <v>1706.4</v>
      </c>
      <c r="H142" s="31">
        <v>0</v>
      </c>
      <c r="I142" s="31">
        <v>0</v>
      </c>
      <c r="J142" s="31">
        <v>11186</v>
      </c>
    </row>
    <row r="143" spans="1:10">
      <c r="A143" s="40">
        <v>44253</v>
      </c>
      <c r="B143" t="s">
        <v>32</v>
      </c>
      <c r="C143" s="30" t="s">
        <v>261</v>
      </c>
      <c r="D143" s="30" t="s">
        <v>262</v>
      </c>
      <c r="E143" s="30" t="s">
        <v>263</v>
      </c>
      <c r="F143" s="31">
        <v>58400</v>
      </c>
      <c r="G143" s="31">
        <v>0</v>
      </c>
      <c r="H143" s="31">
        <v>5256.01</v>
      </c>
      <c r="I143" s="31">
        <v>5256.01</v>
      </c>
      <c r="J143" s="31">
        <v>68912.02</v>
      </c>
    </row>
    <row r="144" spans="1:10">
      <c r="A144" s="40">
        <v>44255</v>
      </c>
      <c r="B144" t="s">
        <v>32</v>
      </c>
      <c r="C144" s="30" t="s">
        <v>264</v>
      </c>
      <c r="D144" s="30" t="s">
        <v>265</v>
      </c>
      <c r="E144" s="30" t="s">
        <v>73</v>
      </c>
      <c r="F144" s="31">
        <v>21.19</v>
      </c>
      <c r="G144" s="31">
        <v>3.81</v>
      </c>
      <c r="H144" s="31">
        <v>0</v>
      </c>
      <c r="I144" s="31">
        <v>0</v>
      </c>
      <c r="J144" s="31">
        <v>25</v>
      </c>
    </row>
    <row r="145" spans="1:10">
      <c r="A145" s="40">
        <v>44253</v>
      </c>
      <c r="B145" t="s">
        <v>32</v>
      </c>
      <c r="C145" s="30">
        <v>19295039</v>
      </c>
      <c r="D145" s="30" t="s">
        <v>266</v>
      </c>
      <c r="E145" s="30" t="s">
        <v>267</v>
      </c>
      <c r="F145" s="31">
        <v>850</v>
      </c>
      <c r="G145" s="31">
        <v>0</v>
      </c>
      <c r="H145" s="31">
        <v>21.25</v>
      </c>
      <c r="I145" s="31">
        <v>21.25</v>
      </c>
      <c r="J145" s="31">
        <v>893</v>
      </c>
    </row>
    <row r="146" spans="1:10">
      <c r="A146" s="40">
        <v>44240</v>
      </c>
      <c r="B146" t="s">
        <v>32</v>
      </c>
      <c r="C146" s="30" t="s">
        <v>268</v>
      </c>
      <c r="D146" s="30" t="s">
        <v>269</v>
      </c>
      <c r="E146" s="30" t="s">
        <v>270</v>
      </c>
      <c r="F146" s="31">
        <v>5150</v>
      </c>
      <c r="G146" s="31">
        <v>927</v>
      </c>
      <c r="H146" s="31">
        <v>0</v>
      </c>
      <c r="I146" s="31">
        <v>0</v>
      </c>
      <c r="J146" s="31">
        <v>6077</v>
      </c>
    </row>
    <row r="147" spans="1:10">
      <c r="A147" s="40">
        <v>44248</v>
      </c>
      <c r="B147" t="s">
        <v>32</v>
      </c>
      <c r="C147" s="30" t="s">
        <v>271</v>
      </c>
      <c r="D147" s="30" t="s">
        <v>269</v>
      </c>
      <c r="E147" s="30" t="s">
        <v>270</v>
      </c>
      <c r="F147" s="31">
        <v>4660</v>
      </c>
      <c r="G147" s="31">
        <v>838.8</v>
      </c>
      <c r="H147" s="31">
        <v>0</v>
      </c>
      <c r="I147" s="31">
        <v>0</v>
      </c>
      <c r="J147" s="31">
        <v>5499</v>
      </c>
    </row>
    <row r="148" spans="1:10">
      <c r="A148" s="40">
        <v>44251</v>
      </c>
      <c r="B148" t="s">
        <v>32</v>
      </c>
      <c r="C148" s="30">
        <v>1560</v>
      </c>
      <c r="D148" s="30" t="s">
        <v>272</v>
      </c>
      <c r="E148" s="30" t="s">
        <v>273</v>
      </c>
      <c r="F148" s="31">
        <v>700</v>
      </c>
      <c r="G148" s="31">
        <v>0</v>
      </c>
      <c r="H148" s="31">
        <v>63</v>
      </c>
      <c r="I148" s="31">
        <v>63</v>
      </c>
      <c r="J148" s="31">
        <v>826</v>
      </c>
    </row>
    <row r="149" spans="1:10">
      <c r="A149" s="40">
        <v>44239</v>
      </c>
      <c r="B149" t="s">
        <v>32</v>
      </c>
      <c r="C149" s="30" t="s">
        <v>274</v>
      </c>
      <c r="D149" s="30" t="s">
        <v>275</v>
      </c>
      <c r="E149" s="30" t="s">
        <v>276</v>
      </c>
      <c r="F149" s="31">
        <v>4214.88</v>
      </c>
      <c r="G149" s="31">
        <v>0</v>
      </c>
      <c r="H149" s="31">
        <v>379.34</v>
      </c>
      <c r="I149" s="31">
        <v>379.34</v>
      </c>
      <c r="J149" s="31">
        <v>4974</v>
      </c>
    </row>
    <row r="150" spans="1:10">
      <c r="A150" s="40">
        <v>44247</v>
      </c>
      <c r="B150" t="s">
        <v>32</v>
      </c>
      <c r="C150" s="30" t="s">
        <v>277</v>
      </c>
      <c r="D150" s="30" t="s">
        <v>275</v>
      </c>
      <c r="E150" s="30" t="s">
        <v>276</v>
      </c>
      <c r="F150" s="31">
        <v>2471.12</v>
      </c>
      <c r="G150" s="31">
        <v>0</v>
      </c>
      <c r="H150" s="31">
        <v>222.4</v>
      </c>
      <c r="I150" s="31">
        <v>222.4</v>
      </c>
      <c r="J150" s="31">
        <v>2916</v>
      </c>
    </row>
    <row r="151" spans="1:10">
      <c r="A151" s="40">
        <v>44254</v>
      </c>
      <c r="B151" t="s">
        <v>32</v>
      </c>
      <c r="C151" s="30" t="s">
        <v>278</v>
      </c>
      <c r="D151" s="30" t="s">
        <v>275</v>
      </c>
      <c r="E151" s="30" t="s">
        <v>276</v>
      </c>
      <c r="F151" s="31">
        <v>130.72</v>
      </c>
      <c r="G151" s="31">
        <v>0</v>
      </c>
      <c r="H151" s="31">
        <v>11.77</v>
      </c>
      <c r="I151" s="31">
        <v>11.77</v>
      </c>
      <c r="J151" s="31">
        <v>154</v>
      </c>
    </row>
    <row r="152" spans="1:10">
      <c r="A152" s="40">
        <v>44230</v>
      </c>
      <c r="B152" t="s">
        <v>32</v>
      </c>
      <c r="C152" s="30">
        <v>753</v>
      </c>
      <c r="D152" s="30" t="s">
        <v>279</v>
      </c>
      <c r="E152" s="30" t="s">
        <v>280</v>
      </c>
      <c r="F152" s="31">
        <v>9814.6</v>
      </c>
      <c r="G152" s="31">
        <v>0</v>
      </c>
      <c r="H152" s="31">
        <v>883.31</v>
      </c>
      <c r="I152" s="31">
        <v>883.31</v>
      </c>
      <c r="J152" s="31">
        <v>11581.22</v>
      </c>
    </row>
    <row r="153" spans="1:10">
      <c r="A153" s="40">
        <v>44245</v>
      </c>
      <c r="B153" t="s">
        <v>32</v>
      </c>
      <c r="C153" s="30">
        <v>806</v>
      </c>
      <c r="D153" s="30" t="s">
        <v>279</v>
      </c>
      <c r="E153" s="30" t="s">
        <v>280</v>
      </c>
      <c r="F153" s="31">
        <v>21561.119999999999</v>
      </c>
      <c r="G153" s="31">
        <v>0</v>
      </c>
      <c r="H153" s="31">
        <v>1940.5</v>
      </c>
      <c r="I153" s="31">
        <v>1940.5</v>
      </c>
      <c r="J153" s="31">
        <v>25442.12</v>
      </c>
    </row>
    <row r="154" spans="1:10">
      <c r="A154" s="40">
        <v>44251</v>
      </c>
      <c r="B154" t="s">
        <v>32</v>
      </c>
      <c r="C154" s="30">
        <v>1013</v>
      </c>
      <c r="D154" s="30" t="s">
        <v>281</v>
      </c>
      <c r="E154" s="30" t="s">
        <v>282</v>
      </c>
      <c r="F154" s="31">
        <v>840</v>
      </c>
      <c r="G154" s="31">
        <v>0</v>
      </c>
      <c r="H154" s="31">
        <v>75.599999999999994</v>
      </c>
      <c r="I154" s="31">
        <v>75.599999999999994</v>
      </c>
      <c r="J154" s="31">
        <v>991</v>
      </c>
    </row>
    <row r="155" spans="1:10">
      <c r="A155" s="40">
        <v>44252</v>
      </c>
      <c r="B155" t="s">
        <v>32</v>
      </c>
      <c r="C155" s="30">
        <v>1015</v>
      </c>
      <c r="D155" s="30" t="s">
        <v>281</v>
      </c>
      <c r="E155" s="30" t="s">
        <v>282</v>
      </c>
      <c r="F155" s="31">
        <v>360</v>
      </c>
      <c r="G155" s="31">
        <v>0</v>
      </c>
      <c r="H155" s="31">
        <v>32.4</v>
      </c>
      <c r="I155" s="31">
        <v>32.4</v>
      </c>
      <c r="J155" s="31">
        <v>425</v>
      </c>
    </row>
    <row r="156" spans="1:10">
      <c r="A156" s="40">
        <v>44254</v>
      </c>
      <c r="B156" t="s">
        <v>32</v>
      </c>
      <c r="C156" s="30">
        <v>1023</v>
      </c>
      <c r="D156" s="30" t="s">
        <v>281</v>
      </c>
      <c r="E156" s="30" t="s">
        <v>282</v>
      </c>
      <c r="F156" s="31">
        <v>420</v>
      </c>
      <c r="G156" s="31">
        <v>0</v>
      </c>
      <c r="H156" s="31">
        <v>37.799999999999997</v>
      </c>
      <c r="I156" s="31">
        <v>37.799999999999997</v>
      </c>
      <c r="J156" s="31">
        <v>496</v>
      </c>
    </row>
    <row r="157" spans="1:10">
      <c r="A157" s="40">
        <v>44228</v>
      </c>
      <c r="B157" t="s">
        <v>32</v>
      </c>
      <c r="C157" s="30">
        <v>914</v>
      </c>
      <c r="D157" s="30" t="s">
        <v>281</v>
      </c>
      <c r="E157" s="30" t="s">
        <v>282</v>
      </c>
      <c r="F157" s="31">
        <v>1070</v>
      </c>
      <c r="G157" s="31">
        <v>0</v>
      </c>
      <c r="H157" s="31">
        <v>96.3</v>
      </c>
      <c r="I157" s="31">
        <v>96.3</v>
      </c>
      <c r="J157" s="31">
        <v>1263</v>
      </c>
    </row>
    <row r="158" spans="1:10">
      <c r="A158" s="40">
        <v>44230</v>
      </c>
      <c r="B158" t="s">
        <v>32</v>
      </c>
      <c r="C158" s="30">
        <v>925</v>
      </c>
      <c r="D158" s="30" t="s">
        <v>281</v>
      </c>
      <c r="E158" s="30" t="s">
        <v>282</v>
      </c>
      <c r="F158" s="31">
        <v>1315</v>
      </c>
      <c r="G158" s="31">
        <v>0</v>
      </c>
      <c r="H158" s="31">
        <v>118.35</v>
      </c>
      <c r="I158" s="31">
        <v>118.35</v>
      </c>
      <c r="J158" s="31">
        <v>1552</v>
      </c>
    </row>
    <row r="159" spans="1:10">
      <c r="A159" s="40">
        <v>44233</v>
      </c>
      <c r="B159" t="s">
        <v>32</v>
      </c>
      <c r="C159" s="30" t="s">
        <v>283</v>
      </c>
      <c r="D159" s="30" t="s">
        <v>284</v>
      </c>
      <c r="E159" s="30" t="s">
        <v>285</v>
      </c>
      <c r="F159" s="31">
        <v>5623</v>
      </c>
      <c r="G159" s="31">
        <v>1012.14</v>
      </c>
      <c r="H159" s="31">
        <v>0</v>
      </c>
      <c r="I159" s="31">
        <v>0</v>
      </c>
      <c r="J159" s="31">
        <v>6635</v>
      </c>
    </row>
    <row r="160" spans="1:10">
      <c r="A160" s="40">
        <v>44235</v>
      </c>
      <c r="B160" t="s">
        <v>32</v>
      </c>
      <c r="C160" s="30" t="s">
        <v>286</v>
      </c>
      <c r="D160" s="30" t="s">
        <v>284</v>
      </c>
      <c r="E160" s="30" t="s">
        <v>285</v>
      </c>
      <c r="F160" s="31">
        <v>18918.75</v>
      </c>
      <c r="G160" s="31">
        <v>3405.38</v>
      </c>
      <c r="H160" s="31">
        <v>0</v>
      </c>
      <c r="I160" s="31">
        <v>0</v>
      </c>
      <c r="J160" s="31">
        <v>22324</v>
      </c>
    </row>
    <row r="161" spans="1:10">
      <c r="A161" s="40">
        <v>44249</v>
      </c>
      <c r="B161" t="s">
        <v>32</v>
      </c>
      <c r="C161" s="30" t="s">
        <v>287</v>
      </c>
      <c r="D161" s="30" t="s">
        <v>284</v>
      </c>
      <c r="E161" s="30" t="s">
        <v>285</v>
      </c>
      <c r="F161" s="31">
        <v>8219.83</v>
      </c>
      <c r="G161" s="31">
        <v>1479.57</v>
      </c>
      <c r="H161" s="31">
        <v>0</v>
      </c>
      <c r="I161" s="31">
        <v>0</v>
      </c>
      <c r="J161" s="31">
        <v>9699</v>
      </c>
    </row>
    <row r="162" spans="1:10">
      <c r="A162" s="40">
        <v>44231</v>
      </c>
      <c r="B162" t="s">
        <v>32</v>
      </c>
      <c r="C162" s="30">
        <v>203363</v>
      </c>
      <c r="D162" s="30" t="s">
        <v>288</v>
      </c>
      <c r="E162" s="30" t="s">
        <v>289</v>
      </c>
      <c r="F162" s="31">
        <v>1487.5</v>
      </c>
      <c r="G162" s="31">
        <v>0</v>
      </c>
      <c r="H162" s="31">
        <v>133.88</v>
      </c>
      <c r="I162" s="31">
        <v>133.88</v>
      </c>
      <c r="J162" s="31">
        <v>1755</v>
      </c>
    </row>
    <row r="163" spans="1:10">
      <c r="A163" s="40">
        <v>44224</v>
      </c>
      <c r="B163" t="s">
        <v>32</v>
      </c>
      <c r="C163" s="30">
        <v>1905</v>
      </c>
      <c r="D163" s="30" t="s">
        <v>290</v>
      </c>
      <c r="E163" s="30" t="s">
        <v>291</v>
      </c>
      <c r="F163" s="31">
        <v>1694.92</v>
      </c>
      <c r="G163" s="31">
        <v>0</v>
      </c>
      <c r="H163" s="31">
        <v>152.54</v>
      </c>
      <c r="I163" s="31">
        <v>152.54</v>
      </c>
      <c r="J163" s="31">
        <v>3500</v>
      </c>
    </row>
    <row r="164" spans="1:10">
      <c r="A164" s="40">
        <v>44253</v>
      </c>
      <c r="B164" t="s">
        <v>32</v>
      </c>
      <c r="C164" s="30" t="s">
        <v>292</v>
      </c>
      <c r="D164" s="30" t="s">
        <v>293</v>
      </c>
      <c r="E164" s="30" t="s">
        <v>294</v>
      </c>
      <c r="F164" s="31">
        <v>25000</v>
      </c>
      <c r="G164" s="31">
        <v>4500</v>
      </c>
      <c r="H164" s="31">
        <v>0</v>
      </c>
      <c r="I164" s="31">
        <v>0</v>
      </c>
      <c r="J164" s="31">
        <v>0</v>
      </c>
    </row>
    <row r="165" spans="1:10">
      <c r="A165" s="40">
        <v>44253</v>
      </c>
      <c r="B165" t="s">
        <v>32</v>
      </c>
      <c r="C165" s="30" t="s">
        <v>295</v>
      </c>
      <c r="D165" s="30" t="s">
        <v>293</v>
      </c>
      <c r="E165" s="30" t="s">
        <v>294</v>
      </c>
      <c r="F165" s="31">
        <v>18450</v>
      </c>
      <c r="G165" s="31">
        <v>3321</v>
      </c>
      <c r="H165" s="31">
        <v>0</v>
      </c>
      <c r="I165" s="31">
        <v>0</v>
      </c>
      <c r="J165" s="31">
        <v>21771</v>
      </c>
    </row>
    <row r="166" spans="1:10">
      <c r="A166" s="40">
        <v>44237</v>
      </c>
      <c r="B166" t="s">
        <v>32</v>
      </c>
      <c r="C166" s="30" t="s">
        <v>296</v>
      </c>
      <c r="D166" s="30" t="s">
        <v>297</v>
      </c>
      <c r="E166" s="30" t="s">
        <v>298</v>
      </c>
      <c r="F166" s="31">
        <v>25447.68</v>
      </c>
      <c r="G166" s="31">
        <v>4580.58</v>
      </c>
      <c r="H166" s="31">
        <v>0</v>
      </c>
      <c r="I166" s="31">
        <v>0</v>
      </c>
      <c r="J166" s="31">
        <v>30028</v>
      </c>
    </row>
    <row r="167" spans="1:10">
      <c r="A167" s="44">
        <v>44237</v>
      </c>
      <c r="B167" t="s">
        <v>32</v>
      </c>
      <c r="C167" t="s">
        <v>299</v>
      </c>
      <c r="D167" s="29" t="s">
        <v>297</v>
      </c>
      <c r="E167" t="s">
        <v>298</v>
      </c>
      <c r="F167">
        <v>8140.38</v>
      </c>
      <c r="G167">
        <v>1465.27</v>
      </c>
      <c r="H167">
        <v>0</v>
      </c>
      <c r="I167">
        <v>0</v>
      </c>
      <c r="J167">
        <v>9606</v>
      </c>
    </row>
    <row r="168" spans="1:10">
      <c r="A168" s="44">
        <v>44249</v>
      </c>
      <c r="B168" t="s">
        <v>32</v>
      </c>
      <c r="C168">
        <v>1273</v>
      </c>
      <c r="D168" s="29" t="s">
        <v>300</v>
      </c>
      <c r="E168" t="s">
        <v>301</v>
      </c>
      <c r="F168">
        <v>14500</v>
      </c>
      <c r="G168">
        <v>2610</v>
      </c>
      <c r="H168">
        <v>0</v>
      </c>
      <c r="I168">
        <v>0</v>
      </c>
      <c r="J168">
        <v>17110</v>
      </c>
    </row>
    <row r="169" spans="1:10">
      <c r="A169" s="44">
        <v>44254</v>
      </c>
      <c r="B169" t="s">
        <v>32</v>
      </c>
      <c r="C169">
        <v>177</v>
      </c>
      <c r="D169" s="29" t="s">
        <v>302</v>
      </c>
      <c r="E169" t="s">
        <v>303</v>
      </c>
      <c r="F169">
        <v>2100</v>
      </c>
      <c r="G169">
        <v>0</v>
      </c>
      <c r="H169">
        <v>189</v>
      </c>
      <c r="I169">
        <v>189</v>
      </c>
      <c r="J169">
        <v>2478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for C.A</vt:lpstr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Jamnani</dc:creator>
  <cp:keywords/>
  <dc:description/>
  <cp:lastModifiedBy>Ritesh Pathak</cp:lastModifiedBy>
  <cp:revision/>
  <dcterms:created xsi:type="dcterms:W3CDTF">2015-06-05T18:17:20Z</dcterms:created>
  <dcterms:modified xsi:type="dcterms:W3CDTF">2023-06-14T05:45:12Z</dcterms:modified>
  <cp:category/>
  <cp:contentStatus/>
</cp:coreProperties>
</file>